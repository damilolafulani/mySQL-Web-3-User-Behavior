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drawings/drawing3.xml" ContentType="application/vnd.openxmlformats-officedocument.drawing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\Downloads\TDI Projects\SQL\"/>
    </mc:Choice>
  </mc:AlternateContent>
  <xr:revisionPtr revIDLastSave="0" documentId="13_ncr:1_{ED116F4B-EA17-4165-A4CC-6444C1E31999}" xr6:coauthVersionLast="47" xr6:coauthVersionMax="47" xr10:uidLastSave="{00000000-0000-0000-0000-000000000000}"/>
  <bookViews>
    <workbookView xWindow="-120" yWindow="-120" windowWidth="20730" windowHeight="11310" tabRatio="768" activeTab="4" xr2:uid="{E471FB7B-3B3C-4D58-A425-FC5327ECC9AB}"/>
  </bookViews>
  <sheets>
    <sheet name="top 10 wallet addresses" sheetId="12" r:id="rId1"/>
    <sheet name="Dex trade volume by weekday" sheetId="7" r:id="rId2"/>
    <sheet name="monthly avg trade dex &amp; nfts" sheetId="6" r:id="rId3"/>
    <sheet name="DEX most traded token" sheetId="3" r:id="rId4"/>
    <sheet name="Dashboard" sheetId="13" r:id="rId5"/>
  </sheets>
  <definedNames>
    <definedName name="ExternalData_1" localSheetId="3" hidden="1">'DEX most traded token'!$A$3:$C$16</definedName>
    <definedName name="ExternalData_11" localSheetId="2" hidden="1">'monthly avg trade dex &amp; nfts'!$A$3:$F$8</definedName>
    <definedName name="ExternalData_11" localSheetId="0" hidden="1">'top 10 wallet addresses'!$A$3:$C$13</definedName>
    <definedName name="ExternalData_12" localSheetId="0" hidden="1">'top 10 wallet addresses'!$E$18:$I$28</definedName>
    <definedName name="ExternalData_2" localSheetId="3" hidden="1">'DEX most traded token'!$A$20:$C$26</definedName>
    <definedName name="ExternalData_3" localSheetId="2" hidden="1">'monthly avg trade dex &amp; nfts'!$A$19:$B$21</definedName>
    <definedName name="ExternalData_4" localSheetId="2" hidden="1">'monthly avg trade dex &amp; nfts'!$A$11:$C$15</definedName>
    <definedName name="ExternalData_5" localSheetId="1" hidden="1">'Dex trade volume by weekday'!$A$26:$C$33</definedName>
    <definedName name="ExternalData_7" localSheetId="1" hidden="1">'Dex trade volume by weekday'!$E$26:$G$33</definedName>
    <definedName name="ExternalData_8" localSheetId="1" hidden="1">'Dex trade volume by weekday'!$A$3:$E$10</definedName>
    <definedName name="ExternalData_8" localSheetId="0" hidden="1">'top 10 wallet addresses'!$E$3:$G$6</definedName>
    <definedName name="ExternalData_9" localSheetId="1" hidden="1">'Dex trade volume by weekday'!$A$14:$E$22</definedName>
    <definedName name="ExternalData_9" localSheetId="0" hidden="1">'top 10 wallet addresses'!$A$18:$C$28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7" l="1"/>
  <c r="F8" i="6"/>
  <c r="E8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6A8F69-BC92-4217-8E19-F318843BFDFB}" keepAlive="1" name="Query - avg dex &amp; nfts trade value" description="Connection to the 'avg dex &amp; nfts trade value' query in the workbook." type="5" refreshedVersion="7" background="1" saveData="1">
    <dbPr connection="Provider=Microsoft.Mashup.OleDb.1;Data Source=$Workbook$;Location=&quot;avg dex &amp; nfts trade value&quot;;Extended Properties=&quot;&quot;" command="SELECT * FROM [avg dex &amp; nfts trade value]"/>
  </connection>
  <connection id="2" xr16:uid="{8E6434BC-9A0A-4BDF-80AA-1AD21834BD87}" keepAlive="1" name="Query - avg trade value dex &amp; nfts" description="Connection to the 'avg trade value dex &amp; nfts' query in the workbook." type="5" refreshedVersion="7" background="1" saveData="1">
    <dbPr connection="Provider=Microsoft.Mashup.OleDb.1;Data Source=$Workbook$;Location=&quot;avg trade value dex &amp; nfts&quot;;Extended Properties=&quot;&quot;" command="SELECT * FROM [avg trade value dex &amp; nfts]"/>
  </connection>
  <connection id="3" xr16:uid="{A80A64FF-9585-45CC-A8C3-BAE58D6EA8A0}" keepAlive="1" name="Query - Combined wallet activity summary" description="Connection to the 'Combined wallet activity summary' query in the workbook." type="5" refreshedVersion="7" background="1" saveData="1">
    <dbPr connection="Provider=Microsoft.Mashup.OleDb.1;Data Source=$Workbook$;Location=&quot;Combined wallet activity summary&quot;;Extended Properties=&quot;&quot;" command="SELECT * FROM [Combined wallet activity summary]"/>
  </connection>
  <connection id="4" xr16:uid="{1F2A322E-B1BC-4D45-9D75-CD0CF005E668}" keepAlive="1" name="Query - Dex trade volume by weekday" description="Connection to the 'Dex trade volume by weekday' query in the workbook." type="5" refreshedVersion="7" background="1" saveData="1">
    <dbPr connection="Provider=Microsoft.Mashup.OleDb.1;Data Source=$Workbook$;Location=&quot;Dex trade volume by weekday&quot;;Extended Properties=&quot;&quot;" command="SELECT * FROM [Dex trade volume by weekday]"/>
  </connection>
  <connection id="5" xr16:uid="{CF9BBFF1-63B7-460A-8075-14DBA0C9821D}" keepAlive="1" name="Query - gas price by weekdays" description="Connection to the 'gas price by weekdays' query in the workbook." type="5" refreshedVersion="7" background="1" saveData="1">
    <dbPr connection="Provider=Microsoft.Mashup.OleDb.1;Data Source=$Workbook$;Location=&quot;gas price by weekdays&quot;;Extended Properties=&quot;&quot;" command="SELECT * FROM [gas price by weekdays]"/>
  </connection>
  <connection id="6" xr16:uid="{FBC4E3CC-6B75-4911-A854-E814C95E0587}" keepAlive="1" name="Query - gas price by weekdays (2)" description="Connection to the 'gas price by weekdays (2)' query in the workbook." type="5" refreshedVersion="7" background="1" saveData="1">
    <dbPr connection="Provider=Microsoft.Mashup.OleDb.1;Data Source=$Workbook$;Location=&quot;gas price by weekdays (2)&quot;;Extended Properties=&quot;&quot;" command="SELECT * FROM [gas price by weekdays (2)]"/>
  </connection>
  <connection id="7" xr16:uid="{7B1B142C-F725-45C1-ACDB-93D003B5F055}" keepAlive="1" name="Query - Most bought token" description="Connection to the 'Most bought token' query in the workbook." type="5" refreshedVersion="7" background="1" saveData="1">
    <dbPr connection="Provider=Microsoft.Mashup.OleDb.1;Data Source=$Workbook$;Location=&quot;Most bought token&quot;;Extended Properties=&quot;&quot;" command="SELECT * FROM [Most bought token]"/>
  </connection>
  <connection id="8" xr16:uid="{EC3C8787-A516-4A80-93CA-2B311277E388}" keepAlive="1" name="Query - Most sold token" description="Connection to the 'Most sold token' query in the workbook." type="5" refreshedVersion="7" background="1" saveData="1">
    <dbPr connection="Provider=Microsoft.Mashup.OleDb.1;Data Source=$Workbook$;Location=&quot;Most sold token&quot;;Extended Properties=&quot;&quot;" command="SELECT * FROM [Most sold token]"/>
  </connection>
  <connection id="9" xr16:uid="{9FF1A546-1B99-4988-AFE6-91A044950763}" keepAlive="1" name="Query - new_top_10 dex trade wallet" description="Connection to the 'new_top_10 dex trade wallet' query in the workbook." type="5" refreshedVersion="7" background="1" saveData="1">
    <dbPr connection="Provider=Microsoft.Mashup.OleDb.1;Data Source=$Workbook$;Location=&quot;new_top_10 dex trade wallet&quot;;Extended Properties=&quot;&quot;" command="SELECT * FROM [new_top_10 dex trade wallet]"/>
  </connection>
  <connection id="10" xr16:uid="{A819E27E-2AAB-40A5-8796-5616EC014BC1}" keepAlive="1" name="Query - Nft trade volume transaction by weekday" description="Connection to the 'Nft trade volume transaction by weekday' query in the workbook." type="5" refreshedVersion="0" background="1">
    <dbPr connection="Provider=Microsoft.Mashup.OleDb.1;Data Source=$Workbook$;Location=&quot;Nft trade volume transaction by weekday&quot;;Extended Properties=&quot;&quot;" command="SELECT * FROM [Nft trade volume transaction by weekday]"/>
  </connection>
  <connection id="11" xr16:uid="{F9ACD99C-AAB5-4307-989E-ABDF20902797}" keepAlive="1" name="Query - Nft trade volume transaction by weekday (2)" description="Connection to the 'Nft trade volume transaction by weekday (2)' query in the workbook." type="5" refreshedVersion="7" background="1" saveData="1">
    <dbPr connection="Provider=Microsoft.Mashup.OleDb.1;Data Source=$Workbook$;Location=&quot;Nft trade volume transaction by weekday (2)&quot;;Extended Properties=&quot;&quot;" command="SELECT * FROM [Nft trade volume transaction by weekday (2)]"/>
  </connection>
  <connection id="12" xr16:uid="{1ED02ED5-771F-4E3D-8836-A94F7135126C}" keepAlive="1" name="Query - NFT&amp;DEX weekly trade analysis" description="Connection to the 'NFT&amp;DEX weekly trade analysis' query in the workbook." type="5" refreshedVersion="7" background="1" saveData="1">
    <dbPr connection="Provider=Microsoft.Mashup.OleDb.1;Data Source=$Workbook$;Location=&quot;NFT&amp;DEX weekly trade analysis&quot;;Extended Properties=&quot;&quot;" command="SELECT * FROM [NFT&amp;DEX weekly trade analysis]"/>
  </connection>
  <connection id="13" xr16:uid="{4313F158-7CA4-4EDC-9E78-E2F4EC9AF2CA}" keepAlive="1" name="Query - Token type breakdown" description="Connection to the 'Token type breakdown' query in the workbook." type="5" refreshedVersion="7" background="1" saveData="1">
    <dbPr connection="Provider=Microsoft.Mashup.OleDb.1;Data Source=$Workbook$;Location=&quot;Token type breakdown&quot;;Extended Properties=&quot;&quot;" command="SELECT * FROM [Token type breakdown]"/>
  </connection>
  <connection id="14" xr16:uid="{7E1B14EE-36E7-4E9B-A384-EF303E1FFDBC}" keepAlive="1" name="Query - top 10 nft wallet transactions" description="Connection to the 'top 10 nft wallet transactions' query in the workbook." type="5" refreshedVersion="7" background="1" saveData="1">
    <dbPr connection="Provider=Microsoft.Mashup.OleDb.1;Data Source=$Workbook$;Location=&quot;top 10 nft wallet transactions&quot;;Extended Properties=&quot;&quot;" command="SELECT * FROM [top 10 nft wallet transactions]"/>
  </connection>
  <connection id="15" xr16:uid="{500368D1-205D-4366-8C4D-1CEF7B5190A1}" keepAlive="1" name="Query - top 10 wallet addresses" description="Connection to the 'top 10 wallet addresses' query in the workbook." type="5" refreshedVersion="7" background="1" saveData="1">
    <dbPr connection="Provider=Microsoft.Mashup.OleDb.1;Data Source=$Workbook$;Location=&quot;top 10 wallet addresses&quot;;Extended Properties=&quot;&quot;" command="SELECT * FROM [top 10 wallet addresses]"/>
  </connection>
  <connection id="16" xr16:uid="{2B7B3EAC-6ABA-42A1-9DA4-DB3FDE891E1A}" keepAlive="1" name="Query - Trade volume by month" description="Connection to the 'Trade volume by month' query in the workbook." type="5" refreshedVersion="7" background="1" saveData="1">
    <dbPr connection="Provider=Microsoft.Mashup.OleDb.1;Data Source=$Workbook$;Location=&quot;Trade volume by month&quot;;Extended Properties=&quot;&quot;" command="SELECT * FROM [Trade volume by month]"/>
  </connection>
</connections>
</file>

<file path=xl/sharedStrings.xml><?xml version="1.0" encoding="utf-8"?>
<sst xmlns="http://schemas.openxmlformats.org/spreadsheetml/2006/main" count="147" uniqueCount="85">
  <si>
    <t>weekday_name</t>
  </si>
  <si>
    <t>total_transaction</t>
  </si>
  <si>
    <t>highest</t>
  </si>
  <si>
    <t>lowest</t>
  </si>
  <si>
    <t>Monday</t>
  </si>
  <si>
    <t>Saturday</t>
  </si>
  <si>
    <t>Tuesday</t>
  </si>
  <si>
    <t>Wednesday</t>
  </si>
  <si>
    <t>Thursday</t>
  </si>
  <si>
    <t>Friday</t>
  </si>
  <si>
    <t>Sunday</t>
  </si>
  <si>
    <t>token_symbol</t>
  </si>
  <si>
    <t>times_sold</t>
  </si>
  <si>
    <t>total_value_sold_usd</t>
  </si>
  <si>
    <t>AXS</t>
  </si>
  <si>
    <t/>
  </si>
  <si>
    <t>WMATIC</t>
  </si>
  <si>
    <t>USDC</t>
  </si>
  <si>
    <t>WETH</t>
  </si>
  <si>
    <t>USDT</t>
  </si>
  <si>
    <t>WRON</t>
  </si>
  <si>
    <t>KARRAT</t>
  </si>
  <si>
    <t>BTC.b</t>
  </si>
  <si>
    <t>MOONCAT</t>
  </si>
  <si>
    <t>APE</t>
  </si>
  <si>
    <t>PETS</t>
  </si>
  <si>
    <t>DAI</t>
  </si>
  <si>
    <t>Most sold token</t>
  </si>
  <si>
    <t>times_bought</t>
  </si>
  <si>
    <t>total_value_bought_usd</t>
  </si>
  <si>
    <t>WAVAX</t>
  </si>
  <si>
    <t>Most bought token</t>
  </si>
  <si>
    <t>avg_dex_trade_usd</t>
  </si>
  <si>
    <t>avg_nft_trade_usd</t>
  </si>
  <si>
    <t>month_name</t>
  </si>
  <si>
    <t>January</t>
  </si>
  <si>
    <t>February</t>
  </si>
  <si>
    <t>March</t>
  </si>
  <si>
    <t>April</t>
  </si>
  <si>
    <t>monthly avg trade dex &amp; nfts</t>
  </si>
  <si>
    <t>avg dex &amp; nfts trade value</t>
  </si>
  <si>
    <t>total_transactions</t>
  </si>
  <si>
    <t>total_dex_value</t>
  </si>
  <si>
    <t>average</t>
  </si>
  <si>
    <t>Dex trade volume by weekday</t>
  </si>
  <si>
    <t>gas price by weekdays</t>
  </si>
  <si>
    <t>Nft trade volume transaction by weekday</t>
  </si>
  <si>
    <t>nft_token_standard</t>
  </si>
  <si>
    <t>total_trades</t>
  </si>
  <si>
    <t>total_nft_trade_usd</t>
  </si>
  <si>
    <t>erc721</t>
  </si>
  <si>
    <t>erc1155</t>
  </si>
  <si>
    <t>wallet_address</t>
  </si>
  <si>
    <t>total_count</t>
  </si>
  <si>
    <t>total_amount</t>
  </si>
  <si>
    <t>0x7d79bd0e4b3dc90665a3ed30aa6c6c06c89d224e</t>
  </si>
  <si>
    <t>0x2e39c65176bccef59053fbecc5aafda27444325d</t>
  </si>
  <si>
    <t>0x44d1ca986e649e28cd6d84eada5097ef16df214a</t>
  </si>
  <si>
    <t>0xf70da97812cb96acdf810712aa562db8dfa3dbef</t>
  </si>
  <si>
    <t>0xb2127ac0d66c20d3d52bb767898c4c39f5488359</t>
  </si>
  <si>
    <t>0xc80c77c4d1b17513a10ed91310f5946dc9320995</t>
  </si>
  <si>
    <t>0xd6d1fa8e1c12165de32331892273d9ed40378043</t>
  </si>
  <si>
    <t>0xdc64b608f1d1c4cce7b3cc36cb7a6db5fdc14f47</t>
  </si>
  <si>
    <t>0x7d1e49e290821ee236bc5e8728f2d3f84ebc5ddc</t>
  </si>
  <si>
    <t>0x48a3901e62bdbe686fecf6bd7927372d26555228</t>
  </si>
  <si>
    <t>month_number</t>
  </si>
  <si>
    <t>total_nft_trans</t>
  </si>
  <si>
    <t>total_dex_trade_usd</t>
  </si>
  <si>
    <t>Trade volume by month</t>
  </si>
  <si>
    <t>top 10 wallet addresses</t>
  </si>
  <si>
    <t>top 10 nft wallet transactions</t>
  </si>
  <si>
    <t>Token type</t>
  </si>
  <si>
    <t>0xd02cf7a2c70db3ab0afa1f6ecc061e3f647e8ee1</t>
  </si>
  <si>
    <t>0xbce31af175dfc6be46d93665ab2022ec9420ac57</t>
  </si>
  <si>
    <t>0xe1adb420d539c797f43c31aec492df38c42cd899</t>
  </si>
  <si>
    <t>0x8d08536f78013e07b36fb01ef796bb7dc36e11c8</t>
  </si>
  <si>
    <t>dex_count</t>
  </si>
  <si>
    <t>nft_count</t>
  </si>
  <si>
    <t>total_nft_value</t>
  </si>
  <si>
    <t>NFT &amp; DEX weekly trade analysis</t>
  </si>
  <si>
    <t>nft_total_count</t>
  </si>
  <si>
    <t>nft_total_amount</t>
  </si>
  <si>
    <t>avg DEX trade</t>
  </si>
  <si>
    <t>avg NFT trade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</si>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</sst>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1F3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BFFF"/>
      <color rgb="FF7FFF00"/>
      <color rgb="FF32CD32"/>
      <color rgb="FFFFD700"/>
      <color rgb="FF53AD62"/>
      <color rgb="FF00B8B8"/>
      <color rgb="FF008080"/>
      <color rgb="FF4682B4"/>
      <color rgb="FF001F3D"/>
      <color rgb="FFF4F4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'top 10 wallet addresses'!$G$18</c:f>
              <c:strCache>
                <c:ptCount val="1"/>
                <c:pt idx="0">
                  <c:v>total_amount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wallet addresses'!$E$19:$E$28</c:f>
              <c:strCache>
                <c:ptCount val="10"/>
                <c:pt idx="0">
                  <c:v>0x48a3901e62bdbe686fecf6bd7927372d26555228</c:v>
                </c:pt>
                <c:pt idx="1">
                  <c:v>0x7d1e49e290821ee236bc5e8728f2d3f84ebc5ddc</c:v>
                </c:pt>
                <c:pt idx="2">
                  <c:v>0xdc64b608f1d1c4cce7b3cc36cb7a6db5fdc14f47</c:v>
                </c:pt>
                <c:pt idx="3">
                  <c:v>0xd6d1fa8e1c12165de32331892273d9ed40378043</c:v>
                </c:pt>
                <c:pt idx="4">
                  <c:v>0xc80c77c4d1b17513a10ed91310f5946dc9320995</c:v>
                </c:pt>
                <c:pt idx="5">
                  <c:v>0xb2127ac0d66c20d3d52bb767898c4c39f5488359</c:v>
                </c:pt>
                <c:pt idx="6">
                  <c:v>0xf70da97812cb96acdf810712aa562db8dfa3dbef</c:v>
                </c:pt>
                <c:pt idx="7">
                  <c:v>0x44d1ca986e649e28cd6d84eada5097ef16df214a</c:v>
                </c:pt>
                <c:pt idx="8">
                  <c:v>0x2e39c65176bccef59053fbecc5aafda27444325d</c:v>
                </c:pt>
                <c:pt idx="9">
                  <c:v>0x7d79bd0e4b3dc90665a3ed30aa6c6c06c89d224e</c:v>
                </c:pt>
              </c:strCache>
            </c:strRef>
          </c:cat>
          <c:val>
            <c:numRef>
              <c:f>'top 10 wallet addresses'!$G$19:$G$28</c:f>
              <c:numCache>
                <c:formatCode>General</c:formatCode>
                <c:ptCount val="10"/>
                <c:pt idx="0">
                  <c:v>176.64</c:v>
                </c:pt>
                <c:pt idx="1">
                  <c:v>80.33</c:v>
                </c:pt>
                <c:pt idx="2">
                  <c:v>82.8</c:v>
                </c:pt>
                <c:pt idx="3">
                  <c:v>241.92</c:v>
                </c:pt>
                <c:pt idx="4">
                  <c:v>401.64</c:v>
                </c:pt>
                <c:pt idx="5">
                  <c:v>574.64</c:v>
                </c:pt>
                <c:pt idx="6">
                  <c:v>600.92999999999995</c:v>
                </c:pt>
                <c:pt idx="7">
                  <c:v>656.96</c:v>
                </c:pt>
                <c:pt idx="8">
                  <c:v>724.9</c:v>
                </c:pt>
                <c:pt idx="9">
                  <c:v>286.61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B-47A4-BB4A-FD2174D7397C}"/>
            </c:ext>
          </c:extLst>
        </c:ser>
        <c:ser>
          <c:idx val="1"/>
          <c:order val="1"/>
          <c:tx>
            <c:strRef>
              <c:f>'top 10 wallet addresses'!$I$18</c:f>
              <c:strCache>
                <c:ptCount val="1"/>
                <c:pt idx="0">
                  <c:v>nft_total_amount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 10 wallet addresses'!$E$19:$E$28</c:f>
              <c:strCache>
                <c:ptCount val="10"/>
                <c:pt idx="0">
                  <c:v>0x48a3901e62bdbe686fecf6bd7927372d26555228</c:v>
                </c:pt>
                <c:pt idx="1">
                  <c:v>0x7d1e49e290821ee236bc5e8728f2d3f84ebc5ddc</c:v>
                </c:pt>
                <c:pt idx="2">
                  <c:v>0xdc64b608f1d1c4cce7b3cc36cb7a6db5fdc14f47</c:v>
                </c:pt>
                <c:pt idx="3">
                  <c:v>0xd6d1fa8e1c12165de32331892273d9ed40378043</c:v>
                </c:pt>
                <c:pt idx="4">
                  <c:v>0xc80c77c4d1b17513a10ed91310f5946dc9320995</c:v>
                </c:pt>
                <c:pt idx="5">
                  <c:v>0xb2127ac0d66c20d3d52bb767898c4c39f5488359</c:v>
                </c:pt>
                <c:pt idx="6">
                  <c:v>0xf70da97812cb96acdf810712aa562db8dfa3dbef</c:v>
                </c:pt>
                <c:pt idx="7">
                  <c:v>0x44d1ca986e649e28cd6d84eada5097ef16df214a</c:v>
                </c:pt>
                <c:pt idx="8">
                  <c:v>0x2e39c65176bccef59053fbecc5aafda27444325d</c:v>
                </c:pt>
                <c:pt idx="9">
                  <c:v>0x7d79bd0e4b3dc90665a3ed30aa6c6c06c89d224e</c:v>
                </c:pt>
              </c:strCache>
            </c:strRef>
          </c:cat>
          <c:val>
            <c:numRef>
              <c:f>'top 10 wallet addresses'!$I$19:$I$28</c:f>
              <c:numCache>
                <c:formatCode>General</c:formatCode>
                <c:ptCount val="10"/>
                <c:pt idx="0">
                  <c:v>58.97</c:v>
                </c:pt>
                <c:pt idx="1">
                  <c:v>80.33</c:v>
                </c:pt>
                <c:pt idx="2">
                  <c:v>82.8</c:v>
                </c:pt>
                <c:pt idx="3">
                  <c:v>241.92</c:v>
                </c:pt>
                <c:pt idx="4">
                  <c:v>406.3</c:v>
                </c:pt>
                <c:pt idx="5">
                  <c:v>574.28</c:v>
                </c:pt>
                <c:pt idx="6">
                  <c:v>590.82000000000005</c:v>
                </c:pt>
                <c:pt idx="7">
                  <c:v>612.62</c:v>
                </c:pt>
                <c:pt idx="8">
                  <c:v>718.33</c:v>
                </c:pt>
                <c:pt idx="9">
                  <c:v>954.1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B-47A4-BB4A-FD2174D73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522522655"/>
        <c:axId val="522524319"/>
      </c:barChart>
      <c:catAx>
        <c:axId val="522522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524319"/>
        <c:crosses val="autoZero"/>
        <c:auto val="1"/>
        <c:lblAlgn val="ctr"/>
        <c:lblOffset val="100"/>
        <c:noMultiLvlLbl val="0"/>
      </c:catAx>
      <c:valAx>
        <c:axId val="52252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52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'Dex trade volume by weekday'!$D$3</c:f>
              <c:strCache>
                <c:ptCount val="1"/>
                <c:pt idx="0">
                  <c:v>total_dex_value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'Dex trade volume by weekday'!$A$4:$A$10</c:f>
              <c:strCache>
                <c:ptCount val="7"/>
                <c:pt idx="0">
                  <c:v>Wednesday</c:v>
                </c:pt>
                <c:pt idx="1">
                  <c:v>Sunday</c:v>
                </c:pt>
                <c:pt idx="2">
                  <c:v>Friday</c:v>
                </c:pt>
                <c:pt idx="3">
                  <c:v>Monday</c:v>
                </c:pt>
                <c:pt idx="4">
                  <c:v>Tuesday</c:v>
                </c:pt>
                <c:pt idx="5">
                  <c:v>Saturday</c:v>
                </c:pt>
                <c:pt idx="6">
                  <c:v>Thursday</c:v>
                </c:pt>
              </c:strCache>
            </c:strRef>
          </c:cat>
          <c:val>
            <c:numRef>
              <c:f>'Dex trade volume by weekday'!$D$4:$D$10</c:f>
              <c:numCache>
                <c:formatCode>General</c:formatCode>
                <c:ptCount val="7"/>
                <c:pt idx="0">
                  <c:v>940.86</c:v>
                </c:pt>
                <c:pt idx="1">
                  <c:v>742.97</c:v>
                </c:pt>
                <c:pt idx="2">
                  <c:v>668.22</c:v>
                </c:pt>
                <c:pt idx="3">
                  <c:v>662.54</c:v>
                </c:pt>
                <c:pt idx="4">
                  <c:v>649.46</c:v>
                </c:pt>
                <c:pt idx="5">
                  <c:v>299.69</c:v>
                </c:pt>
                <c:pt idx="6">
                  <c:v>82.8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BA-4F43-A917-EFEE147C86BC}"/>
            </c:ext>
          </c:extLst>
        </c:ser>
        <c:ser>
          <c:idx val="1"/>
          <c:order val="1"/>
          <c:tx>
            <c:strRef>
              <c:f>'Dex trade volume by weekday'!$E$3</c:f>
              <c:strCache>
                <c:ptCount val="1"/>
                <c:pt idx="0">
                  <c:v>total_nft_value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'Dex trade volume by weekday'!$A$4:$A$10</c:f>
              <c:strCache>
                <c:ptCount val="7"/>
                <c:pt idx="0">
                  <c:v>Wednesday</c:v>
                </c:pt>
                <c:pt idx="1">
                  <c:v>Sunday</c:v>
                </c:pt>
                <c:pt idx="2">
                  <c:v>Friday</c:v>
                </c:pt>
                <c:pt idx="3">
                  <c:v>Monday</c:v>
                </c:pt>
                <c:pt idx="4">
                  <c:v>Tuesday</c:v>
                </c:pt>
                <c:pt idx="5">
                  <c:v>Saturday</c:v>
                </c:pt>
                <c:pt idx="6">
                  <c:v>Thursday</c:v>
                </c:pt>
              </c:strCache>
            </c:strRef>
          </c:cat>
          <c:val>
            <c:numRef>
              <c:f>'Dex trade volume by weekday'!$E$4:$E$10</c:f>
              <c:numCache>
                <c:formatCode>General</c:formatCode>
                <c:ptCount val="7"/>
                <c:pt idx="0">
                  <c:v>815.74</c:v>
                </c:pt>
                <c:pt idx="1">
                  <c:v>1414.14</c:v>
                </c:pt>
                <c:pt idx="2">
                  <c:v>661.93</c:v>
                </c:pt>
                <c:pt idx="3">
                  <c:v>564.08000000000004</c:v>
                </c:pt>
                <c:pt idx="4">
                  <c:v>648.51</c:v>
                </c:pt>
                <c:pt idx="5">
                  <c:v>299.33</c:v>
                </c:pt>
                <c:pt idx="6">
                  <c:v>82.8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BA-4F43-A917-EFEE147C8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2616976"/>
        <c:axId val="262616144"/>
      </c:barChart>
      <c:catAx>
        <c:axId val="26261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616144"/>
        <c:crosses val="autoZero"/>
        <c:auto val="1"/>
        <c:lblAlgn val="ctr"/>
        <c:lblOffset val="100"/>
        <c:noMultiLvlLbl val="0"/>
      </c:catAx>
      <c:valAx>
        <c:axId val="262616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61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sold token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'DEX most traded token'!$B$3</c:f>
              <c:strCache>
                <c:ptCount val="1"/>
                <c:pt idx="0">
                  <c:v>times_sold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'DEX most traded token'!$A$4:$A$8</c:f>
              <c:strCache>
                <c:ptCount val="5"/>
                <c:pt idx="0">
                  <c:v>WETH</c:v>
                </c:pt>
                <c:pt idx="1">
                  <c:v>USDC</c:v>
                </c:pt>
                <c:pt idx="2">
                  <c:v>WMATIC</c:v>
                </c:pt>
                <c:pt idx="4">
                  <c:v>AXS</c:v>
                </c:pt>
              </c:strCache>
            </c:strRef>
          </c:cat>
          <c:val>
            <c:numRef>
              <c:f>'DEX most traded token'!$B$4:$B$8</c:f>
              <c:numCache>
                <c:formatCode>General</c:formatCode>
                <c:ptCount val="5"/>
                <c:pt idx="0">
                  <c:v>5</c:v>
                </c:pt>
                <c:pt idx="1">
                  <c:v>21</c:v>
                </c:pt>
                <c:pt idx="2">
                  <c:v>66</c:v>
                </c:pt>
                <c:pt idx="3">
                  <c:v>103</c:v>
                </c:pt>
                <c:pt idx="4">
                  <c:v>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F-430B-8585-A473928A2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7481392"/>
        <c:axId val="397482640"/>
      </c:barChart>
      <c:catAx>
        <c:axId val="397481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482640"/>
        <c:crosses val="autoZero"/>
        <c:auto val="1"/>
        <c:lblAlgn val="ctr"/>
        <c:lblOffset val="100"/>
        <c:noMultiLvlLbl val="0"/>
      </c:catAx>
      <c:valAx>
        <c:axId val="39748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48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bought token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'DEX most traded token'!$B$20</c:f>
              <c:strCache>
                <c:ptCount val="1"/>
                <c:pt idx="0">
                  <c:v>times_bought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'DEX most traded token'!$A$21:$A$25</c:f>
              <c:strCache>
                <c:ptCount val="5"/>
                <c:pt idx="0">
                  <c:v>WMATIC</c:v>
                </c:pt>
                <c:pt idx="1">
                  <c:v>WAVAX</c:v>
                </c:pt>
                <c:pt idx="2">
                  <c:v>WETH</c:v>
                </c:pt>
                <c:pt idx="3">
                  <c:v>USDC</c:v>
                </c:pt>
                <c:pt idx="4">
                  <c:v>WRON</c:v>
                </c:pt>
              </c:strCache>
            </c:strRef>
          </c:cat>
          <c:val>
            <c:numRef>
              <c:f>'DEX most traded token'!$B$21:$B$25</c:f>
              <c:numCache>
                <c:formatCode>General</c:formatCode>
                <c:ptCount val="5"/>
                <c:pt idx="0">
                  <c:v>3</c:v>
                </c:pt>
                <c:pt idx="1">
                  <c:v>14</c:v>
                </c:pt>
                <c:pt idx="2">
                  <c:v>33</c:v>
                </c:pt>
                <c:pt idx="3">
                  <c:v>47</c:v>
                </c:pt>
                <c:pt idx="4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EF-4D3D-964E-D829FF0B9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9345840"/>
        <c:axId val="389347504"/>
      </c:barChart>
      <c:catAx>
        <c:axId val="389345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347504"/>
        <c:crosses val="autoZero"/>
        <c:auto val="1"/>
        <c:lblAlgn val="ctr"/>
        <c:lblOffset val="100"/>
        <c:noMultiLvlLbl val="0"/>
      </c:catAx>
      <c:valAx>
        <c:axId val="38934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34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Volume of transactions by</a:t>
            </a:r>
            <a:r>
              <a:rPr lang="en-US" sz="1400" baseline="0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weekday</a:t>
            </a:r>
            <a:endParaRPr lang="en-US" sz="140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'Dex trade volume by weekday'!$B$14</c:f>
              <c:strCache>
                <c:ptCount val="1"/>
                <c:pt idx="0">
                  <c:v>total_transaction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682B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'Dex trade volume by weekday'!$A$15:$A$22</c:f>
              <c:strCache>
                <c:ptCount val="7"/>
                <c:pt idx="0">
                  <c:v>Tuesday</c:v>
                </c:pt>
                <c:pt idx="1">
                  <c:v>Monday</c:v>
                </c:pt>
                <c:pt idx="2">
                  <c:v>Sunday</c:v>
                </c:pt>
                <c:pt idx="3">
                  <c:v>Friday</c:v>
                </c:pt>
                <c:pt idx="4">
                  <c:v>Wednesday</c:v>
                </c:pt>
                <c:pt idx="5">
                  <c:v>Saturday</c:v>
                </c:pt>
                <c:pt idx="6">
                  <c:v>Thursday</c:v>
                </c:pt>
              </c:strCache>
            </c:strRef>
          </c:cat>
          <c:val>
            <c:numRef>
              <c:f>'Dex trade volume by weekday'!$B$15:$B$22</c:f>
              <c:numCache>
                <c:formatCode>General</c:formatCode>
                <c:ptCount val="8"/>
                <c:pt idx="0">
                  <c:v>17</c:v>
                </c:pt>
                <c:pt idx="1">
                  <c:v>10</c:v>
                </c:pt>
                <c:pt idx="2">
                  <c:v>103</c:v>
                </c:pt>
                <c:pt idx="3">
                  <c:v>494</c:v>
                </c:pt>
                <c:pt idx="4">
                  <c:v>70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04-419E-B777-68D39844A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4555839"/>
        <c:axId val="1894556671"/>
      </c:lineChart>
      <c:catAx>
        <c:axId val="1894555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556671"/>
        <c:crosses val="autoZero"/>
        <c:auto val="1"/>
        <c:lblAlgn val="ctr"/>
        <c:lblOffset val="100"/>
        <c:noMultiLvlLbl val="0"/>
      </c:catAx>
      <c:valAx>
        <c:axId val="189455667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accent1"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555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Average gas price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'Dex trade volume by weekday'!$E$14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'Dex trade volume by weekday'!$A$15:$A$22</c:f>
              <c:strCache>
                <c:ptCount val="7"/>
                <c:pt idx="0">
                  <c:v>Tuesday</c:v>
                </c:pt>
                <c:pt idx="1">
                  <c:v>Monday</c:v>
                </c:pt>
                <c:pt idx="2">
                  <c:v>Sunday</c:v>
                </c:pt>
                <c:pt idx="3">
                  <c:v>Friday</c:v>
                </c:pt>
                <c:pt idx="4">
                  <c:v>Wednesday</c:v>
                </c:pt>
                <c:pt idx="5">
                  <c:v>Saturday</c:v>
                </c:pt>
                <c:pt idx="6">
                  <c:v>Thursday</c:v>
                </c:pt>
              </c:strCache>
            </c:strRef>
          </c:cat>
          <c:val>
            <c:numRef>
              <c:f>'Dex trade volume by weekday'!$E$15:$E$22</c:f>
              <c:numCache>
                <c:formatCode>General</c:formatCode>
                <c:ptCount val="8"/>
                <c:pt idx="0">
                  <c:v>36206128299.470596</c:v>
                </c:pt>
                <c:pt idx="1">
                  <c:v>64280960735.699997</c:v>
                </c:pt>
                <c:pt idx="2">
                  <c:v>19819355802.980598</c:v>
                </c:pt>
                <c:pt idx="3">
                  <c:v>19939927930.667999</c:v>
                </c:pt>
                <c:pt idx="4">
                  <c:v>35765558604.414299</c:v>
                </c:pt>
                <c:pt idx="5">
                  <c:v>47831333333.333298</c:v>
                </c:pt>
                <c:pt idx="6">
                  <c:v>20000000000</c:v>
                </c:pt>
                <c:pt idx="7">
                  <c:v>34834752100.93811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67-48C3-8F5F-867CB1BCD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6129103"/>
        <c:axId val="1906124943"/>
      </c:lineChart>
      <c:catAx>
        <c:axId val="190612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124943"/>
        <c:crosses val="autoZero"/>
        <c:auto val="1"/>
        <c:lblAlgn val="ctr"/>
        <c:lblOffset val="100"/>
        <c:noMultiLvlLbl val="0"/>
      </c:catAx>
      <c:valAx>
        <c:axId val="190612494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accent1"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129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200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Token standard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'top 10 wallet addresses'!$G$3</c:f>
              <c:strCache>
                <c:ptCount val="1"/>
                <c:pt idx="0">
                  <c:v>total_nft_trade_usd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CB-483E-AF4D-786C42B88020}"/>
              </c:ext>
            </c:extLst>
          </c:dPt>
          <c:dPt>
            <c:idx val="1"/>
            <c:bubble3D val="0"/>
            <c:explosion val="2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CB-483E-AF4D-786C42B88020}"/>
              </c:ext>
            </c:extLst>
          </c:dPt>
          <c:dPt>
            <c:idx val="2"/>
            <c:bubble3D val="0"/>
            <c:explosion val="4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CB-483E-AF4D-786C42B88020}"/>
              </c:ext>
            </c:extLst>
          </c:dPt>
          <c:dLbls>
            <c:dLbl>
              <c:idx val="0"/>
              <c:layout>
                <c:manualLayout>
                  <c:x val="8.96358701578545E-2"/>
                  <c:y val="1.629327553853338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3CB-483E-AF4D-786C42B88020}"/>
                </c:ext>
              </c:extLst>
            </c:dLbl>
            <c:dLbl>
              <c:idx val="1"/>
              <c:layout>
                <c:manualLayout>
                  <c:x val="-5.8263315602605371E-2"/>
                  <c:y val="5.43109184617779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3CB-483E-AF4D-786C42B88020}"/>
                </c:ext>
              </c:extLst>
            </c:dLbl>
            <c:dLbl>
              <c:idx val="2"/>
              <c:layout>
                <c:manualLayout>
                  <c:x val="-1.3445556972241424E-2"/>
                  <c:y val="-9.232834756250886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546928789241713"/>
                      <c:h val="0.1570654656113527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3CB-483E-AF4D-786C42B880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'top 10 wallet addresses'!$E$4:$E$6</c:f>
              <c:strCache>
                <c:ptCount val="3"/>
                <c:pt idx="0">
                  <c:v>N/A</c:v>
                </c:pt>
                <c:pt idx="1">
                  <c:v>erc721</c:v>
                </c:pt>
                <c:pt idx="2">
                  <c:v>erc1155</c:v>
                </c:pt>
              </c:strCache>
            </c:strRef>
          </c:cat>
          <c:val>
            <c:numRef>
              <c:f>'top 10 wallet addresses'!$G$4:$G$6</c:f>
              <c:numCache>
                <c:formatCode>General</c:formatCode>
                <c:ptCount val="3"/>
                <c:pt idx="0">
                  <c:v>1466.97</c:v>
                </c:pt>
                <c:pt idx="1">
                  <c:v>2862.31</c:v>
                </c:pt>
                <c:pt idx="2">
                  <c:v>157.25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CB-483E-AF4D-786C42B88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baseline="0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DEX vs. NFT: Avg. Trade Value per Month</a:t>
            </a:r>
            <a:endParaRPr lang="en-US" sz="1100" b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avg trade dex &amp; nfts'!$B$11</c:f>
              <c:strCache>
                <c:ptCount val="1"/>
                <c:pt idx="0">
                  <c:v>avg_dex_trade_usd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avg trade dex &amp; nfts'!$A$12:$A$14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'monthly avg trade dex &amp; nfts'!$B$12:$B$14</c:f>
              <c:numCache>
                <c:formatCode>General</c:formatCode>
                <c:ptCount val="3"/>
                <c:pt idx="0">
                  <c:v>5.74</c:v>
                </c:pt>
                <c:pt idx="1">
                  <c:v>25.36</c:v>
                </c:pt>
                <c:pt idx="2">
                  <c:v>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ED-4F02-A029-030002167201}"/>
            </c:ext>
          </c:extLst>
        </c:ser>
        <c:ser>
          <c:idx val="1"/>
          <c:order val="1"/>
          <c:tx>
            <c:strRef>
              <c:f>'monthly avg trade dex &amp; nfts'!$C$11</c:f>
              <c:strCache>
                <c:ptCount val="1"/>
                <c:pt idx="0">
                  <c:v>avg_nft_trade_usd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avg trade dex &amp; nfts'!$A$12:$A$14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'monthly avg trade dex &amp; nfts'!$C$12:$C$14</c:f>
              <c:numCache>
                <c:formatCode>General</c:formatCode>
                <c:ptCount val="3"/>
                <c:pt idx="0">
                  <c:v>6.39</c:v>
                </c:pt>
                <c:pt idx="1">
                  <c:v>24.88</c:v>
                </c:pt>
                <c:pt idx="2">
                  <c:v>6.23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ED-4F02-A029-030002167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7480560"/>
        <c:axId val="397481808"/>
      </c:barChart>
      <c:catAx>
        <c:axId val="39748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481808"/>
        <c:crosses val="autoZero"/>
        <c:auto val="1"/>
        <c:lblAlgn val="ctr"/>
        <c:lblOffset val="100"/>
        <c:noMultiLvlLbl val="0"/>
      </c:catAx>
      <c:valAx>
        <c:axId val="397481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48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baseline="0">
                <a:solidFill>
                  <a:schemeClr val="bg1"/>
                </a:solidFill>
                <a:effectLst/>
              </a:rPr>
              <a:t>Average Trade Value: DEX &amp; NFTs</a:t>
            </a:r>
            <a:endParaRPr lang="en-US" sz="1200">
              <a:solidFill>
                <a:schemeClr val="bg1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47-4063-87E1-42BDED1A3D63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47-4063-87E1-42BDED1A3D63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="1" baseline="0">
                        <a:solidFill>
                          <a:schemeClr val="tx1"/>
                        </a:solidFill>
                      </a:rPr>
                      <a:t>DEX
</a:t>
                    </a:r>
                    <a:fld id="{572DE717-640A-4F95-91A8-6CD864A763BB}" type="VALUE">
                      <a:rPr lang="en-US" sz="1100" b="1" baseline="0">
                        <a:solidFill>
                          <a:schemeClr val="tx1"/>
                        </a:solidFill>
                      </a:rPr>
                      <a:pPr>
                        <a:defRPr sz="1100" b="1"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US" sz="1100" b="1" baseline="0">
                      <a:solidFill>
                        <a:schemeClr val="tx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264831041872632"/>
                      <c:h val="0.2439044473819425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447-4063-87E1-42BDED1A3D63}"/>
                </c:ext>
              </c:extLst>
            </c:dLbl>
            <c:dLbl>
              <c:idx val="1"/>
              <c:layout>
                <c:manualLayout>
                  <c:x val="-5.4156355605226046E-2"/>
                  <c:y val="2.7886714066761104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="1">
                        <a:solidFill>
                          <a:schemeClr val="tx1"/>
                        </a:solidFill>
                      </a:rPr>
                      <a:t>NFT</a:t>
                    </a:r>
                  </a:p>
                  <a:p>
                    <a:pPr>
                      <a:defRPr/>
                    </a:pPr>
                    <a:fld id="{3CB46A47-50F3-4551-8C88-41E1C277A606}" type="VALUE">
                      <a:rPr lang="en-US" sz="1100" b="1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7741677975572762"/>
                      <c:h val="0.250876125898632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447-4063-87E1-42BDED1A3D63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'monthly avg trade dex &amp; nfts'!$A$19:$B$19</c:f>
              <c:strCache>
                <c:ptCount val="2"/>
                <c:pt idx="0">
                  <c:v>avg DEX trade</c:v>
                </c:pt>
                <c:pt idx="1">
                  <c:v>avg NFT trade</c:v>
                </c:pt>
              </c:strCache>
            </c:strRef>
          </c:cat>
          <c:val>
            <c:numRef>
              <c:f>'monthly avg trade dex &amp; nfts'!$A$20:$B$20</c:f>
              <c:numCache>
                <c:formatCode>General</c:formatCode>
                <c:ptCount val="2"/>
                <c:pt idx="0">
                  <c:v>5.8</c:v>
                </c:pt>
                <c:pt idx="1">
                  <c:v>6.43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47-4063-87E1-42BDED1A3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Monthly Trade vol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avg trade dex &amp; nfts'!$E$3</c:f>
              <c:strCache>
                <c:ptCount val="1"/>
                <c:pt idx="0">
                  <c:v>total_dex_trade_usd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avg trade dex &amp; nfts'!$B$4:$B$6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'monthly avg trade dex &amp; nfts'!$E$4:$E$6</c:f>
              <c:numCache>
                <c:formatCode>"$"#,##0.00</c:formatCode>
                <c:ptCount val="3"/>
                <c:pt idx="0">
                  <c:v>3925.37</c:v>
                </c:pt>
                <c:pt idx="1">
                  <c:v>50.72</c:v>
                </c:pt>
                <c:pt idx="2">
                  <c:v>70.45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A9-47D6-8D85-1DCE6AA87B28}"/>
            </c:ext>
          </c:extLst>
        </c:ser>
        <c:ser>
          <c:idx val="1"/>
          <c:order val="1"/>
          <c:tx>
            <c:strRef>
              <c:f>'monthly avg trade dex &amp; nfts'!$F$3</c:f>
              <c:strCache>
                <c:ptCount val="1"/>
                <c:pt idx="0">
                  <c:v>total_nft_trade_usd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'monthly avg trade dex &amp; nfts'!$B$4:$B$6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'monthly avg trade dex &amp; nfts'!$F$4:$F$6</c:f>
              <c:numCache>
                <c:formatCode>"$"#,##0.00</c:formatCode>
                <c:ptCount val="3"/>
                <c:pt idx="0">
                  <c:v>4368.28</c:v>
                </c:pt>
                <c:pt idx="1">
                  <c:v>49.76</c:v>
                </c:pt>
                <c:pt idx="2">
                  <c:v>68.489999999999995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A9-47D6-8D85-1DCE6AA87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3599952"/>
        <c:axId val="2063603696"/>
      </c:lineChart>
      <c:catAx>
        <c:axId val="206359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603696"/>
        <c:crosses val="autoZero"/>
        <c:auto val="1"/>
        <c:lblAlgn val="ctr"/>
        <c:lblOffset val="100"/>
        <c:noMultiLvlLbl val="0"/>
      </c:catAx>
      <c:valAx>
        <c:axId val="206360369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accent1">
                  <a:shade val="50000"/>
                  <a:alpha val="10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59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svg"/><Relationship Id="rId13" Type="http://schemas.openxmlformats.org/officeDocument/2006/relationships/image" Target="../media/image7.png"/><Relationship Id="rId3" Type="http://schemas.openxmlformats.org/officeDocument/2006/relationships/chart" Target="../charts/chart7.xml"/><Relationship Id="rId7" Type="http://schemas.openxmlformats.org/officeDocument/2006/relationships/image" Target="../media/image1.png"/><Relationship Id="rId12" Type="http://schemas.openxmlformats.org/officeDocument/2006/relationships/image" Target="../media/image6.svg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11" Type="http://schemas.openxmlformats.org/officeDocument/2006/relationships/image" Target="../media/image5.png"/><Relationship Id="rId5" Type="http://schemas.openxmlformats.org/officeDocument/2006/relationships/chart" Target="../charts/chart9.xml"/><Relationship Id="rId15" Type="http://schemas.openxmlformats.org/officeDocument/2006/relationships/image" Target="../media/image9.png"/><Relationship Id="rId10" Type="http://schemas.openxmlformats.org/officeDocument/2006/relationships/image" Target="../media/image4.svg"/><Relationship Id="rId4" Type="http://schemas.openxmlformats.org/officeDocument/2006/relationships/chart" Target="../charts/chart8.xml"/><Relationship Id="rId9" Type="http://schemas.openxmlformats.org/officeDocument/2006/relationships/image" Target="../media/image3.png"/><Relationship Id="rId14" Type="http://schemas.openxmlformats.org/officeDocument/2006/relationships/image" Target="../media/image8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1514474</xdr:colOff>
      <xdr:row>0</xdr:row>
      <xdr:rowOff>228600</xdr:rowOff>
    </xdr:from>
    <xdr:to>
      <xdr:col>3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A372DC-E73C-41C6-B06C-802179A61C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371476</xdr:colOff>
      <xdr:row>0</xdr:row>
      <xdr:rowOff>128588</xdr:rowOff>
    </xdr:from>
    <xdr:to>
      <xdr:col>30</xdr:col>
      <xdr:colOff>76200</xdr:colOff>
      <xdr:row>9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32B822-0821-4EA5-B110-3C38DEA1DA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233362</xdr:rowOff>
    </xdr:from>
    <xdr:to>
      <xdr:col>9</xdr:col>
      <xdr:colOff>190500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4A3A48-9F50-4EB8-B30C-B05513E5C5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0</xdr:row>
      <xdr:rowOff>233362</xdr:rowOff>
    </xdr:from>
    <xdr:to>
      <xdr:col>16</xdr:col>
      <xdr:colOff>142875</xdr:colOff>
      <xdr:row>22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EBC0DA-6F8F-4A0D-BAD8-E54EB47A1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0</xdr:row>
      <xdr:rowOff>95250</xdr:rowOff>
    </xdr:from>
    <xdr:to>
      <xdr:col>20</xdr:col>
      <xdr:colOff>297656</xdr:colOff>
      <xdr:row>4</xdr:row>
      <xdr:rowOff>161925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30741732-6143-4E61-A072-42F13736CD20}"/>
            </a:ext>
          </a:extLst>
        </xdr:cNvPr>
        <xdr:cNvGrpSpPr/>
      </xdr:nvGrpSpPr>
      <xdr:grpSpPr>
        <a:xfrm>
          <a:off x="521494" y="95250"/>
          <a:ext cx="11253787" cy="828675"/>
          <a:chOff x="314325" y="0"/>
          <a:chExt cx="9525001" cy="828675"/>
        </a:xfrm>
      </xdr:grpSpPr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8AC084CD-43D3-4F48-A09A-64832F699B0D}"/>
              </a:ext>
            </a:extLst>
          </xdr:cNvPr>
          <xdr:cNvSpPr/>
        </xdr:nvSpPr>
        <xdr:spPr>
          <a:xfrm>
            <a:off x="314325" y="0"/>
            <a:ext cx="9525001" cy="828675"/>
          </a:xfrm>
          <a:prstGeom prst="roundRect">
            <a:avLst/>
          </a:prstGeom>
          <a:solidFill>
            <a:srgbClr val="4682B4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E2659E4C-7012-4528-B391-06D7768ED531}"/>
              </a:ext>
            </a:extLst>
          </xdr:cNvPr>
          <xdr:cNvSpPr/>
        </xdr:nvSpPr>
        <xdr:spPr>
          <a:xfrm>
            <a:off x="390525" y="85725"/>
            <a:ext cx="9286875" cy="647700"/>
          </a:xfrm>
          <a:prstGeom prst="roundRect">
            <a:avLst/>
          </a:prstGeom>
          <a:solidFill>
            <a:srgbClr val="00B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66675</xdr:colOff>
      <xdr:row>0</xdr:row>
      <xdr:rowOff>133350</xdr:rowOff>
    </xdr:from>
    <xdr:to>
      <xdr:col>14</xdr:col>
      <xdr:colOff>447674</xdr:colOff>
      <xdr:row>4</xdr:row>
      <xdr:rowOff>57150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B3BDF91-F0EA-4F08-BDFD-08E9B10AAA64}"/>
            </a:ext>
          </a:extLst>
        </xdr:cNvPr>
        <xdr:cNvSpPr txBox="1"/>
      </xdr:nvSpPr>
      <xdr:spPr>
        <a:xfrm>
          <a:off x="2667000" y="133350"/>
          <a:ext cx="5867399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000" b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Web3 User Behavior Analysis Dashboard</a:t>
          </a:r>
        </a:p>
        <a:p>
          <a:pPr algn="l"/>
          <a:r>
            <a:rPr lang="en-US" sz="1100" b="1"/>
            <a:t>Analyzing DEX &amp; NFT Transactions Across Ethereum Blockchain</a:t>
          </a:r>
          <a:endParaRPr lang="en-US" sz="1100" b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</xdr:col>
      <xdr:colOff>152399</xdr:colOff>
      <xdr:row>5</xdr:row>
      <xdr:rowOff>114300</xdr:rowOff>
    </xdr:from>
    <xdr:to>
      <xdr:col>20</xdr:col>
      <xdr:colOff>273842</xdr:colOff>
      <xdr:row>9</xdr:row>
      <xdr:rowOff>180975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8EF1D144-4EF5-4FA1-8B1E-4375C7E598ED}"/>
            </a:ext>
          </a:extLst>
        </xdr:cNvPr>
        <xdr:cNvSpPr/>
      </xdr:nvSpPr>
      <xdr:spPr>
        <a:xfrm>
          <a:off x="521493" y="1066800"/>
          <a:ext cx="11229974" cy="828675"/>
        </a:xfrm>
        <a:prstGeom prst="roundRect">
          <a:avLst/>
        </a:prstGeom>
        <a:solidFill>
          <a:srgbClr val="4682B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153483</xdr:colOff>
      <xdr:row>5</xdr:row>
      <xdr:rowOff>185737</xdr:rowOff>
    </xdr:from>
    <xdr:to>
      <xdr:col>5</xdr:col>
      <xdr:colOff>319532</xdr:colOff>
      <xdr:row>9</xdr:row>
      <xdr:rowOff>90487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E480FE17-3824-4BED-8815-3601B455C4C2}"/>
            </a:ext>
          </a:extLst>
        </xdr:cNvPr>
        <xdr:cNvSpPr/>
      </xdr:nvSpPr>
      <xdr:spPr>
        <a:xfrm>
          <a:off x="701171" y="1138237"/>
          <a:ext cx="1987705" cy="666750"/>
        </a:xfrm>
        <a:prstGeom prst="roundRect">
          <a:avLst/>
        </a:prstGeom>
        <a:solidFill>
          <a:srgbClr val="00B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127838</xdr:colOff>
      <xdr:row>5</xdr:row>
      <xdr:rowOff>185737</xdr:rowOff>
    </xdr:from>
    <xdr:to>
      <xdr:col>16</xdr:col>
      <xdr:colOff>293887</xdr:colOff>
      <xdr:row>9</xdr:row>
      <xdr:rowOff>90487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1EAB0394-F57A-4AB8-BB2D-F1AE3EA0DF98}"/>
            </a:ext>
          </a:extLst>
        </xdr:cNvPr>
        <xdr:cNvSpPr/>
      </xdr:nvSpPr>
      <xdr:spPr>
        <a:xfrm>
          <a:off x="7354932" y="1138237"/>
          <a:ext cx="1987705" cy="666750"/>
        </a:xfrm>
        <a:prstGeom prst="roundRect">
          <a:avLst/>
        </a:prstGeom>
        <a:solidFill>
          <a:srgbClr val="00B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338793</xdr:colOff>
      <xdr:row>5</xdr:row>
      <xdr:rowOff>185737</xdr:rowOff>
    </xdr:from>
    <xdr:to>
      <xdr:col>12</xdr:col>
      <xdr:colOff>504842</xdr:colOff>
      <xdr:row>9</xdr:row>
      <xdr:rowOff>90487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4A60FF77-FB3D-46EF-9AF9-332B159A1E33}"/>
            </a:ext>
          </a:extLst>
        </xdr:cNvPr>
        <xdr:cNvSpPr/>
      </xdr:nvSpPr>
      <xdr:spPr>
        <a:xfrm>
          <a:off x="5137012" y="1138237"/>
          <a:ext cx="1987705" cy="666750"/>
        </a:xfrm>
        <a:prstGeom prst="roundRect">
          <a:avLst/>
        </a:prstGeom>
        <a:solidFill>
          <a:srgbClr val="00B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549747</xdr:colOff>
      <xdr:row>5</xdr:row>
      <xdr:rowOff>185737</xdr:rowOff>
    </xdr:from>
    <xdr:to>
      <xdr:col>9</xdr:col>
      <xdr:colOff>108577</xdr:colOff>
      <xdr:row>9</xdr:row>
      <xdr:rowOff>90487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5B733077-6E57-4068-ADF3-7DCBAF139E9F}"/>
            </a:ext>
          </a:extLst>
        </xdr:cNvPr>
        <xdr:cNvSpPr/>
      </xdr:nvSpPr>
      <xdr:spPr>
        <a:xfrm>
          <a:off x="2919091" y="1138237"/>
          <a:ext cx="1987705" cy="666750"/>
        </a:xfrm>
        <a:prstGeom prst="roundRect">
          <a:avLst/>
        </a:prstGeom>
        <a:solidFill>
          <a:srgbClr val="00B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524100</xdr:colOff>
      <xdr:row>5</xdr:row>
      <xdr:rowOff>185737</xdr:rowOff>
    </xdr:from>
    <xdr:to>
      <xdr:col>20</xdr:col>
      <xdr:colOff>82930</xdr:colOff>
      <xdr:row>9</xdr:row>
      <xdr:rowOff>90487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4EF63042-88B6-4762-A6C3-AA6C47EDB925}"/>
            </a:ext>
          </a:extLst>
        </xdr:cNvPr>
        <xdr:cNvSpPr/>
      </xdr:nvSpPr>
      <xdr:spPr>
        <a:xfrm>
          <a:off x="9572850" y="1138237"/>
          <a:ext cx="1987705" cy="666750"/>
        </a:xfrm>
        <a:prstGeom prst="roundRect">
          <a:avLst/>
        </a:prstGeom>
        <a:solidFill>
          <a:srgbClr val="00B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119062</xdr:colOff>
      <xdr:row>10</xdr:row>
      <xdr:rowOff>161924</xdr:rowOff>
    </xdr:from>
    <xdr:to>
      <xdr:col>6</xdr:col>
      <xdr:colOff>261938</xdr:colOff>
      <xdr:row>36</xdr:row>
      <xdr:rowOff>119061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9AE810AA-97B7-4CA3-877E-40DE9E0FD19A}"/>
            </a:ext>
          </a:extLst>
        </xdr:cNvPr>
        <xdr:cNvSpPr/>
      </xdr:nvSpPr>
      <xdr:spPr>
        <a:xfrm>
          <a:off x="488156" y="2066924"/>
          <a:ext cx="2750345" cy="4910137"/>
        </a:xfrm>
        <a:prstGeom prst="roundRect">
          <a:avLst>
            <a:gd name="adj" fmla="val 5382"/>
          </a:avLst>
        </a:prstGeom>
        <a:solidFill>
          <a:srgbClr val="4682B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380999</xdr:colOff>
      <xdr:row>10</xdr:row>
      <xdr:rowOff>161925</xdr:rowOff>
    </xdr:from>
    <xdr:to>
      <xdr:col>11</xdr:col>
      <xdr:colOff>511968</xdr:colOff>
      <xdr:row>36</xdr:row>
      <xdr:rowOff>130969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3C51B9FB-E2B7-439C-A6B1-6055A87A790E}"/>
            </a:ext>
          </a:extLst>
        </xdr:cNvPr>
        <xdr:cNvSpPr/>
      </xdr:nvSpPr>
      <xdr:spPr>
        <a:xfrm>
          <a:off x="3583780" y="2066925"/>
          <a:ext cx="3167063" cy="4922044"/>
        </a:xfrm>
        <a:prstGeom prst="roundRect">
          <a:avLst>
            <a:gd name="adj" fmla="val 5382"/>
          </a:avLst>
        </a:prstGeom>
        <a:solidFill>
          <a:srgbClr val="4682B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590550</xdr:colOff>
      <xdr:row>10</xdr:row>
      <xdr:rowOff>142876</xdr:rowOff>
    </xdr:from>
    <xdr:to>
      <xdr:col>20</xdr:col>
      <xdr:colOff>309562</xdr:colOff>
      <xdr:row>37</xdr:row>
      <xdr:rowOff>11906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601B75E2-5E43-4D7E-A59E-A57078F9820D}"/>
            </a:ext>
          </a:extLst>
        </xdr:cNvPr>
        <xdr:cNvSpPr/>
      </xdr:nvSpPr>
      <xdr:spPr>
        <a:xfrm>
          <a:off x="6603206" y="2047876"/>
          <a:ext cx="5183981" cy="5012530"/>
        </a:xfrm>
        <a:prstGeom prst="roundRect">
          <a:avLst>
            <a:gd name="adj" fmla="val 5382"/>
          </a:avLst>
        </a:prstGeom>
        <a:solidFill>
          <a:srgbClr val="4682B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228600</xdr:colOff>
      <xdr:row>10</xdr:row>
      <xdr:rowOff>173832</xdr:rowOff>
    </xdr:from>
    <xdr:to>
      <xdr:col>17</xdr:col>
      <xdr:colOff>488155</xdr:colOff>
      <xdr:row>12</xdr:row>
      <xdr:rowOff>83344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7BDC524-B466-455A-93A9-DD88D786FDBE}"/>
            </a:ext>
          </a:extLst>
        </xdr:cNvPr>
        <xdr:cNvSpPr txBox="1"/>
      </xdr:nvSpPr>
      <xdr:spPr>
        <a:xfrm>
          <a:off x="7074694" y="2078832"/>
          <a:ext cx="3295649" cy="2905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bg1"/>
              </a:solidFill>
              <a:latin typeface="Tw Cen MT" panose="020B0602020104020603" pitchFamily="34" charset="0"/>
            </a:rPr>
            <a:t>Gas Price and</a:t>
          </a:r>
          <a:r>
            <a:rPr lang="en-US" sz="1400" baseline="0">
              <a:solidFill>
                <a:schemeClr val="bg1"/>
              </a:solidFill>
              <a:latin typeface="Tw Cen MT" panose="020B0602020104020603" pitchFamily="34" charset="0"/>
            </a:rPr>
            <a:t> transaction volume analysis</a:t>
          </a:r>
          <a:endParaRPr lang="en-US" sz="1400">
            <a:solidFill>
              <a:schemeClr val="bg1"/>
            </a:solidFill>
            <a:latin typeface="Tw Cen MT" panose="020B0602020104020603" pitchFamily="34" charset="0"/>
          </a:endParaRPr>
        </a:p>
      </xdr:txBody>
    </xdr:sp>
    <xdr:clientData/>
  </xdr:twoCellAnchor>
  <xdr:twoCellAnchor>
    <xdr:from>
      <xdr:col>12</xdr:col>
      <xdr:colOff>135731</xdr:colOff>
      <xdr:row>12</xdr:row>
      <xdr:rowOff>83343</xdr:rowOff>
    </xdr:from>
    <xdr:to>
      <xdr:col>20</xdr:col>
      <xdr:colOff>130968</xdr:colOff>
      <xdr:row>24</xdr:row>
      <xdr:rowOff>35718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750C83E5-A7D2-4687-95E0-0DCE5F924F25}"/>
            </a:ext>
          </a:extLst>
        </xdr:cNvPr>
        <xdr:cNvSpPr/>
      </xdr:nvSpPr>
      <xdr:spPr>
        <a:xfrm>
          <a:off x="6755606" y="2369343"/>
          <a:ext cx="4852987" cy="2238375"/>
        </a:xfrm>
        <a:prstGeom prst="roundRect">
          <a:avLst>
            <a:gd name="adj" fmla="val 5382"/>
          </a:avLst>
        </a:prstGeom>
        <a:solidFill>
          <a:srgbClr val="00B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250031</xdr:colOff>
      <xdr:row>13</xdr:row>
      <xdr:rowOff>4763</xdr:rowOff>
    </xdr:from>
    <xdr:to>
      <xdr:col>20</xdr:col>
      <xdr:colOff>35718</xdr:colOff>
      <xdr:row>23</xdr:row>
      <xdr:rowOff>176214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A12E8DDD-86BA-4BB3-90C1-BDBC419FFA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157162</xdr:colOff>
      <xdr:row>24</xdr:row>
      <xdr:rowOff>92869</xdr:rowOff>
    </xdr:from>
    <xdr:to>
      <xdr:col>20</xdr:col>
      <xdr:colOff>152399</xdr:colOff>
      <xdr:row>36</xdr:row>
      <xdr:rowOff>69057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FE1C2AD1-0F35-494B-B89F-1D5D03C617D4}"/>
            </a:ext>
          </a:extLst>
        </xdr:cNvPr>
        <xdr:cNvSpPr/>
      </xdr:nvSpPr>
      <xdr:spPr>
        <a:xfrm>
          <a:off x="6777037" y="4664869"/>
          <a:ext cx="4852987" cy="2262188"/>
        </a:xfrm>
        <a:prstGeom prst="roundRect">
          <a:avLst>
            <a:gd name="adj" fmla="val 5382"/>
          </a:avLst>
        </a:prstGeom>
        <a:solidFill>
          <a:srgbClr val="00B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261937</xdr:colOff>
      <xdr:row>24</xdr:row>
      <xdr:rowOff>150017</xdr:rowOff>
    </xdr:from>
    <xdr:to>
      <xdr:col>20</xdr:col>
      <xdr:colOff>11906</xdr:colOff>
      <xdr:row>35</xdr:row>
      <xdr:rowOff>178593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B0371916-8AA2-4610-A6D9-BF80653128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428624</xdr:colOff>
      <xdr:row>12</xdr:row>
      <xdr:rowOff>71437</xdr:rowOff>
    </xdr:from>
    <xdr:to>
      <xdr:col>11</xdr:col>
      <xdr:colOff>452437</xdr:colOff>
      <xdr:row>25</xdr:row>
      <xdr:rowOff>83344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9659D2AB-3CB2-4499-85E8-F348CE2D22F2}"/>
            </a:ext>
          </a:extLst>
        </xdr:cNvPr>
        <xdr:cNvSpPr/>
      </xdr:nvSpPr>
      <xdr:spPr>
        <a:xfrm>
          <a:off x="3405187" y="2357437"/>
          <a:ext cx="3059906" cy="2488407"/>
        </a:xfrm>
        <a:prstGeom prst="roundRect">
          <a:avLst>
            <a:gd name="adj" fmla="val 5382"/>
          </a:avLst>
        </a:prstGeom>
        <a:solidFill>
          <a:srgbClr val="00B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547687</xdr:colOff>
      <xdr:row>12</xdr:row>
      <xdr:rowOff>173831</xdr:rowOff>
    </xdr:from>
    <xdr:to>
      <xdr:col>11</xdr:col>
      <xdr:colOff>345280</xdr:colOff>
      <xdr:row>25</xdr:row>
      <xdr:rowOff>35719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760D3816-E233-460E-A5C4-7F5C3D8F80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226219</xdr:colOff>
      <xdr:row>12</xdr:row>
      <xdr:rowOff>71436</xdr:rowOff>
    </xdr:from>
    <xdr:to>
      <xdr:col>6</xdr:col>
      <xdr:colOff>190500</xdr:colOff>
      <xdr:row>25</xdr:row>
      <xdr:rowOff>142875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D3C85AAE-3350-40AD-A8A2-E7CCB6141547}"/>
            </a:ext>
          </a:extLst>
        </xdr:cNvPr>
        <xdr:cNvSpPr/>
      </xdr:nvSpPr>
      <xdr:spPr>
        <a:xfrm>
          <a:off x="392907" y="2357436"/>
          <a:ext cx="3000374" cy="2547939"/>
        </a:xfrm>
        <a:prstGeom prst="roundRect">
          <a:avLst>
            <a:gd name="adj" fmla="val 2290"/>
          </a:avLst>
        </a:prstGeom>
        <a:solidFill>
          <a:srgbClr val="00B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297654</xdr:colOff>
      <xdr:row>12</xdr:row>
      <xdr:rowOff>166687</xdr:rowOff>
    </xdr:from>
    <xdr:to>
      <xdr:col>6</xdr:col>
      <xdr:colOff>130968</xdr:colOff>
      <xdr:row>25</xdr:row>
      <xdr:rowOff>83344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A90F9918-05B8-4DF8-A570-333DA3EFB0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211931</xdr:colOff>
      <xdr:row>26</xdr:row>
      <xdr:rowOff>16669</xdr:rowOff>
    </xdr:from>
    <xdr:to>
      <xdr:col>6</xdr:col>
      <xdr:colOff>202406</xdr:colOff>
      <xdr:row>36</xdr:row>
      <xdr:rowOff>47625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EB503F4E-4401-457E-86E8-33FE3E383DFF}"/>
            </a:ext>
          </a:extLst>
        </xdr:cNvPr>
        <xdr:cNvSpPr/>
      </xdr:nvSpPr>
      <xdr:spPr>
        <a:xfrm>
          <a:off x="378619" y="4969669"/>
          <a:ext cx="3026568" cy="1935956"/>
        </a:xfrm>
        <a:prstGeom prst="roundRect">
          <a:avLst>
            <a:gd name="adj" fmla="val 2290"/>
          </a:avLst>
        </a:prstGeom>
        <a:solidFill>
          <a:srgbClr val="00B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259556</xdr:colOff>
      <xdr:row>26</xdr:row>
      <xdr:rowOff>59532</xdr:rowOff>
    </xdr:from>
    <xdr:to>
      <xdr:col>6</xdr:col>
      <xdr:colOff>154781</xdr:colOff>
      <xdr:row>35</xdr:row>
      <xdr:rowOff>166688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90D12D08-BDCE-433D-AF79-86A619FA88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447675</xdr:colOff>
      <xdr:row>25</xdr:row>
      <xdr:rowOff>142875</xdr:rowOff>
    </xdr:from>
    <xdr:to>
      <xdr:col>11</xdr:col>
      <xdr:colOff>438149</xdr:colOff>
      <xdr:row>36</xdr:row>
      <xdr:rowOff>59531</xdr:rowOff>
    </xdr:to>
    <xdr:sp macro="" textlink="">
      <xdr:nvSpPr>
        <xdr:cNvPr id="46" name="Rectangle: Rounded Corners 45">
          <a:extLst>
            <a:ext uri="{FF2B5EF4-FFF2-40B4-BE49-F238E27FC236}">
              <a16:creationId xmlns:a16="http://schemas.microsoft.com/office/drawing/2014/main" id="{05A14784-ACE7-4881-96B5-2F144C9830CE}"/>
            </a:ext>
          </a:extLst>
        </xdr:cNvPr>
        <xdr:cNvSpPr/>
      </xdr:nvSpPr>
      <xdr:spPr>
        <a:xfrm>
          <a:off x="3650456" y="4905375"/>
          <a:ext cx="3026568" cy="2012156"/>
        </a:xfrm>
        <a:prstGeom prst="roundRect">
          <a:avLst>
            <a:gd name="adj" fmla="val 2290"/>
          </a:avLst>
        </a:prstGeom>
        <a:solidFill>
          <a:srgbClr val="00B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476248</xdr:colOff>
      <xdr:row>26</xdr:row>
      <xdr:rowOff>19050</xdr:rowOff>
    </xdr:from>
    <xdr:to>
      <xdr:col>11</xdr:col>
      <xdr:colOff>440531</xdr:colOff>
      <xdr:row>36</xdr:row>
      <xdr:rowOff>11906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493DAF3-6094-4D3C-90CA-EBB9BC20BF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357189</xdr:colOff>
      <xdr:row>10</xdr:row>
      <xdr:rowOff>147639</xdr:rowOff>
    </xdr:from>
    <xdr:to>
      <xdr:col>11</xdr:col>
      <xdr:colOff>369095</xdr:colOff>
      <xdr:row>12</xdr:row>
      <xdr:rowOff>57151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C5DF7BAE-F692-4E51-A569-AE1E3D09F0AB}"/>
            </a:ext>
          </a:extLst>
        </xdr:cNvPr>
        <xdr:cNvSpPr txBox="1"/>
      </xdr:nvSpPr>
      <xdr:spPr>
        <a:xfrm>
          <a:off x="3559970" y="2052639"/>
          <a:ext cx="3048000" cy="2905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  <a:latin typeface="Tw Cen MT" panose="020B0602020104020603" pitchFamily="34" charset="0"/>
            </a:rPr>
            <a:t>Token</a:t>
          </a:r>
          <a:r>
            <a:rPr lang="en-US" sz="1200" b="1" baseline="0">
              <a:solidFill>
                <a:schemeClr val="bg1"/>
              </a:solidFill>
              <a:latin typeface="Tw Cen MT" panose="020B0602020104020603" pitchFamily="34" charset="0"/>
            </a:rPr>
            <a:t> standard &amp; monthly trade vol. </a:t>
          </a:r>
          <a:r>
            <a:rPr lang="en-US" sz="1100" b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analysis</a:t>
          </a:r>
          <a:endParaRPr lang="en-US" sz="1200" b="1">
            <a:solidFill>
              <a:schemeClr val="bg1"/>
            </a:solidFill>
            <a:latin typeface="Tw Cen MT" panose="020B0602020104020603" pitchFamily="34" charset="0"/>
          </a:endParaRPr>
        </a:p>
      </xdr:txBody>
    </xdr:sp>
    <xdr:clientData/>
  </xdr:twoCellAnchor>
  <xdr:twoCellAnchor>
    <xdr:from>
      <xdr:col>1</xdr:col>
      <xdr:colOff>223837</xdr:colOff>
      <xdr:row>10</xdr:row>
      <xdr:rowOff>169071</xdr:rowOff>
    </xdr:from>
    <xdr:to>
      <xdr:col>5</xdr:col>
      <xdr:colOff>166687</xdr:colOff>
      <xdr:row>12</xdr:row>
      <xdr:rowOff>78583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23AD4C36-B007-470E-B485-2594FBA8FC02}"/>
            </a:ext>
          </a:extLst>
        </xdr:cNvPr>
        <xdr:cNvSpPr txBox="1"/>
      </xdr:nvSpPr>
      <xdr:spPr>
        <a:xfrm>
          <a:off x="390525" y="2074071"/>
          <a:ext cx="2371725" cy="2905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bg1"/>
              </a:solidFill>
              <a:latin typeface="Tw Cen MT" panose="020B0602020104020603" pitchFamily="34" charset="0"/>
            </a:rPr>
            <a:t>DEX and NFT trading pattern</a:t>
          </a:r>
        </a:p>
      </xdr:txBody>
    </xdr:sp>
    <xdr:clientData/>
  </xdr:twoCellAnchor>
  <xdr:twoCellAnchor editAs="oneCell">
    <xdr:from>
      <xdr:col>4</xdr:col>
      <xdr:colOff>535781</xdr:colOff>
      <xdr:row>5</xdr:row>
      <xdr:rowOff>119062</xdr:rowOff>
    </xdr:from>
    <xdr:to>
      <xdr:col>5</xdr:col>
      <xdr:colOff>261937</xdr:colOff>
      <xdr:row>7</xdr:row>
      <xdr:rowOff>71437</xdr:rowOff>
    </xdr:to>
    <xdr:pic>
      <xdr:nvPicPr>
        <xdr:cNvPr id="3" name="Graphic 2" descr="Money with solid fill">
          <a:extLst>
            <a:ext uri="{FF2B5EF4-FFF2-40B4-BE49-F238E27FC236}">
              <a16:creationId xmlns:a16="http://schemas.microsoft.com/office/drawing/2014/main" id="{DB69A00A-EAFE-4E45-A437-C5495647E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297906" y="1071562"/>
          <a:ext cx="333375" cy="333375"/>
        </a:xfrm>
        <a:prstGeom prst="rect">
          <a:avLst/>
        </a:prstGeom>
      </xdr:spPr>
    </xdr:pic>
    <xdr:clientData/>
  </xdr:twoCellAnchor>
  <xdr:twoCellAnchor editAs="oneCell">
    <xdr:from>
      <xdr:col>15</xdr:col>
      <xdr:colOff>440532</xdr:colOff>
      <xdr:row>5</xdr:row>
      <xdr:rowOff>178594</xdr:rowOff>
    </xdr:from>
    <xdr:to>
      <xdr:col>16</xdr:col>
      <xdr:colOff>357188</xdr:colOff>
      <xdr:row>7</xdr:row>
      <xdr:rowOff>85725</xdr:rowOff>
    </xdr:to>
    <xdr:pic>
      <xdr:nvPicPr>
        <xdr:cNvPr id="7" name="Graphic 6" descr="Coins with solid fill">
          <a:extLst>
            <a:ext uri="{FF2B5EF4-FFF2-40B4-BE49-F238E27FC236}">
              <a16:creationId xmlns:a16="http://schemas.microsoft.com/office/drawing/2014/main" id="{5D594CCD-FF78-46BC-96D7-8C7E38C35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8882063" y="1131094"/>
          <a:ext cx="523875" cy="288131"/>
        </a:xfrm>
        <a:prstGeom prst="rect">
          <a:avLst/>
        </a:prstGeom>
      </xdr:spPr>
    </xdr:pic>
    <xdr:clientData/>
  </xdr:twoCellAnchor>
  <xdr:twoCellAnchor>
    <xdr:from>
      <xdr:col>2</xdr:col>
      <xdr:colOff>154780</xdr:colOff>
      <xdr:row>5</xdr:row>
      <xdr:rowOff>178593</xdr:rowOff>
    </xdr:from>
    <xdr:to>
      <xdr:col>4</xdr:col>
      <xdr:colOff>488156</xdr:colOff>
      <xdr:row>7</xdr:row>
      <xdr:rowOff>59530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7F5C88A-990D-4E32-A197-7C06EBAA72BB}"/>
            </a:ext>
          </a:extLst>
        </xdr:cNvPr>
        <xdr:cNvSpPr txBox="1"/>
      </xdr:nvSpPr>
      <xdr:spPr>
        <a:xfrm>
          <a:off x="702468" y="1131093"/>
          <a:ext cx="1547813" cy="261937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Total Trade volume</a:t>
          </a:r>
        </a:p>
      </xdr:txBody>
    </xdr:sp>
    <xdr:clientData/>
  </xdr:twoCellAnchor>
  <xdr:twoCellAnchor>
    <xdr:from>
      <xdr:col>2</xdr:col>
      <xdr:colOff>164305</xdr:colOff>
      <xdr:row>6</xdr:row>
      <xdr:rowOff>176211</xdr:rowOff>
    </xdr:from>
    <xdr:to>
      <xdr:col>3</xdr:col>
      <xdr:colOff>71438</xdr:colOff>
      <xdr:row>8</xdr:row>
      <xdr:rowOff>35718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3D784958-AEC9-4E16-A8B7-624E7FFF7DD8}"/>
            </a:ext>
          </a:extLst>
        </xdr:cNvPr>
        <xdr:cNvSpPr txBox="1"/>
      </xdr:nvSpPr>
      <xdr:spPr>
        <a:xfrm>
          <a:off x="711993" y="1319211"/>
          <a:ext cx="514351" cy="240507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DEX</a:t>
          </a:r>
        </a:p>
      </xdr:txBody>
    </xdr:sp>
    <xdr:clientData/>
  </xdr:twoCellAnchor>
  <xdr:twoCellAnchor>
    <xdr:from>
      <xdr:col>3</xdr:col>
      <xdr:colOff>602456</xdr:colOff>
      <xdr:row>6</xdr:row>
      <xdr:rowOff>173830</xdr:rowOff>
    </xdr:from>
    <xdr:to>
      <xdr:col>4</xdr:col>
      <xdr:colOff>509588</xdr:colOff>
      <xdr:row>8</xdr:row>
      <xdr:rowOff>33337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F0CEEB7F-3822-4D6A-8186-9414EA819D34}"/>
            </a:ext>
          </a:extLst>
        </xdr:cNvPr>
        <xdr:cNvSpPr txBox="1"/>
      </xdr:nvSpPr>
      <xdr:spPr>
        <a:xfrm>
          <a:off x="1757362" y="1316830"/>
          <a:ext cx="514351" cy="240507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NFT</a:t>
          </a:r>
        </a:p>
      </xdr:txBody>
    </xdr:sp>
    <xdr:clientData/>
  </xdr:twoCellAnchor>
  <xdr:twoCellAnchor>
    <xdr:from>
      <xdr:col>5</xdr:col>
      <xdr:colOff>557212</xdr:colOff>
      <xdr:row>5</xdr:row>
      <xdr:rowOff>152399</xdr:rowOff>
    </xdr:from>
    <xdr:to>
      <xdr:col>8</xdr:col>
      <xdr:colOff>283369</xdr:colOff>
      <xdr:row>7</xdr:row>
      <xdr:rowOff>33336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5F64A40-5F80-456C-BB4D-3C8B39E626AD}"/>
            </a:ext>
          </a:extLst>
        </xdr:cNvPr>
        <xdr:cNvSpPr txBox="1"/>
      </xdr:nvSpPr>
      <xdr:spPr>
        <a:xfrm>
          <a:off x="2926556" y="1104899"/>
          <a:ext cx="1547813" cy="261937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Avg. Trade value</a:t>
          </a:r>
        </a:p>
      </xdr:txBody>
    </xdr:sp>
    <xdr:clientData/>
  </xdr:twoCellAnchor>
  <xdr:twoCellAnchor>
    <xdr:from>
      <xdr:col>2</xdr:col>
      <xdr:colOff>166686</xdr:colOff>
      <xdr:row>8</xdr:row>
      <xdr:rowOff>0</xdr:rowOff>
    </xdr:from>
    <xdr:to>
      <xdr:col>3</xdr:col>
      <xdr:colOff>428625</xdr:colOff>
      <xdr:row>9</xdr:row>
      <xdr:rowOff>47625</xdr:rowOff>
    </xdr:to>
    <xdr:sp macro="" textlink="'monthly avg trade dex &amp; nfts'!E8">
      <xdr:nvSpPr>
        <xdr:cNvPr id="9" name="TextBox 8">
          <a:extLst>
            <a:ext uri="{FF2B5EF4-FFF2-40B4-BE49-F238E27FC236}">
              <a16:creationId xmlns:a16="http://schemas.microsoft.com/office/drawing/2014/main" id="{12551FC0-2A24-4942-8073-808ACD503AB5}"/>
            </a:ext>
          </a:extLst>
        </xdr:cNvPr>
        <xdr:cNvSpPr txBox="1"/>
      </xdr:nvSpPr>
      <xdr:spPr>
        <a:xfrm>
          <a:off x="714374" y="1524000"/>
          <a:ext cx="869157" cy="238125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172DD199-F47B-40B9-B106-7B56CB598296}" type="TxLink">
            <a:rPr lang="en-US" sz="12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/>
            <a:t>$4,046.54</a:t>
          </a:fld>
          <a:endParaRPr lang="en-US" sz="12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59532</xdr:colOff>
      <xdr:row>7</xdr:row>
      <xdr:rowOff>142875</xdr:rowOff>
    </xdr:from>
    <xdr:to>
      <xdr:col>5</xdr:col>
      <xdr:colOff>238125</xdr:colOff>
      <xdr:row>9</xdr:row>
      <xdr:rowOff>57151</xdr:rowOff>
    </xdr:to>
    <xdr:sp macro="" textlink="'monthly avg trade dex &amp; nfts'!F8">
      <xdr:nvSpPr>
        <xdr:cNvPr id="51" name="TextBox 50">
          <a:extLst>
            <a:ext uri="{FF2B5EF4-FFF2-40B4-BE49-F238E27FC236}">
              <a16:creationId xmlns:a16="http://schemas.microsoft.com/office/drawing/2014/main" id="{1AA92011-44A0-42B8-AB86-DAB73A2662CD}"/>
            </a:ext>
          </a:extLst>
        </xdr:cNvPr>
        <xdr:cNvSpPr txBox="1"/>
      </xdr:nvSpPr>
      <xdr:spPr>
        <a:xfrm>
          <a:off x="1821657" y="1476375"/>
          <a:ext cx="785812" cy="295276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457D9479-44F3-46A6-8FFD-33799EA89F1A}" type="TxLink">
            <a:rPr lang="en-US" sz="12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/>
            <a:t>$4,486.53</a:t>
          </a:fld>
          <a:endParaRPr lang="en-US" sz="12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361950</xdr:colOff>
      <xdr:row>6</xdr:row>
      <xdr:rowOff>147636</xdr:rowOff>
    </xdr:from>
    <xdr:to>
      <xdr:col>8</xdr:col>
      <xdr:colOff>269082</xdr:colOff>
      <xdr:row>8</xdr:row>
      <xdr:rowOff>7143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E03C78D7-3807-4E57-BE19-8D6EE3EF1DA6}"/>
            </a:ext>
          </a:extLst>
        </xdr:cNvPr>
        <xdr:cNvSpPr txBox="1"/>
      </xdr:nvSpPr>
      <xdr:spPr>
        <a:xfrm>
          <a:off x="3945731" y="1290636"/>
          <a:ext cx="514351" cy="240507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NFT</a:t>
          </a:r>
        </a:p>
      </xdr:txBody>
    </xdr:sp>
    <xdr:clientData/>
  </xdr:twoCellAnchor>
  <xdr:twoCellAnchor>
    <xdr:from>
      <xdr:col>6</xdr:col>
      <xdr:colOff>7144</xdr:colOff>
      <xdr:row>6</xdr:row>
      <xdr:rowOff>173829</xdr:rowOff>
    </xdr:from>
    <xdr:to>
      <xdr:col>7</xdr:col>
      <xdr:colOff>119062</xdr:colOff>
      <xdr:row>9</xdr:row>
      <xdr:rowOff>33338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4C09A390-6861-4895-B803-7FB21451F063}"/>
            </a:ext>
          </a:extLst>
        </xdr:cNvPr>
        <xdr:cNvGrpSpPr/>
      </xdr:nvGrpSpPr>
      <xdr:grpSpPr>
        <a:xfrm>
          <a:off x="2983707" y="1316829"/>
          <a:ext cx="719136" cy="431009"/>
          <a:chOff x="2983707" y="1316829"/>
          <a:chExt cx="719136" cy="431009"/>
        </a:xfrm>
      </xdr:grpSpPr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043130FB-F45C-4268-894B-BFAEC88B623B}"/>
              </a:ext>
            </a:extLst>
          </xdr:cNvPr>
          <xdr:cNvSpPr txBox="1"/>
        </xdr:nvSpPr>
        <xdr:spPr>
          <a:xfrm>
            <a:off x="2983707" y="1316829"/>
            <a:ext cx="514351" cy="240507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DEX</a:t>
            </a:r>
          </a:p>
        </xdr:txBody>
      </xdr:sp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C347D84C-9FC2-4F95-93A9-4B29BB31789D}"/>
              </a:ext>
            </a:extLst>
          </xdr:cNvPr>
          <xdr:cNvSpPr txBox="1"/>
        </xdr:nvSpPr>
        <xdr:spPr>
          <a:xfrm>
            <a:off x="2986088" y="1500187"/>
            <a:ext cx="716755" cy="247651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600" b="1">
                <a:solidFill>
                  <a:schemeClr val="bg1"/>
                </a:solidFill>
                <a:latin typeface="+mn-lt"/>
                <a:ea typeface="+mn-ea"/>
                <a:cs typeface="+mn-cs"/>
              </a:rPr>
              <a:t>5.8</a:t>
            </a:r>
          </a:p>
        </xdr:txBody>
      </xdr:sp>
    </xdr:grpSp>
    <xdr:clientData/>
  </xdr:twoCellAnchor>
  <xdr:twoCellAnchor>
    <xdr:from>
      <xdr:col>7</xdr:col>
      <xdr:colOff>376240</xdr:colOff>
      <xdr:row>7</xdr:row>
      <xdr:rowOff>185738</xdr:rowOff>
    </xdr:from>
    <xdr:to>
      <xdr:col>8</xdr:col>
      <xdr:colOff>447677</xdr:colOff>
      <xdr:row>9</xdr:row>
      <xdr:rowOff>19051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26B175C0-04EA-4C86-94ED-3235DE27313C}"/>
            </a:ext>
          </a:extLst>
        </xdr:cNvPr>
        <xdr:cNvSpPr txBox="1"/>
      </xdr:nvSpPr>
      <xdr:spPr>
        <a:xfrm>
          <a:off x="3960021" y="1519238"/>
          <a:ext cx="678656" cy="214313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600" b="1">
              <a:solidFill>
                <a:schemeClr val="bg1"/>
              </a:solidFill>
              <a:latin typeface="+mn-lt"/>
              <a:ea typeface="+mn-ea"/>
              <a:cs typeface="+mn-cs"/>
            </a:rPr>
            <a:t>6.43</a:t>
          </a:r>
        </a:p>
      </xdr:txBody>
    </xdr:sp>
    <xdr:clientData/>
  </xdr:twoCellAnchor>
  <xdr:twoCellAnchor>
    <xdr:from>
      <xdr:col>2</xdr:col>
      <xdr:colOff>126205</xdr:colOff>
      <xdr:row>6</xdr:row>
      <xdr:rowOff>76200</xdr:rowOff>
    </xdr:from>
    <xdr:to>
      <xdr:col>2</xdr:col>
      <xdr:colOff>150018</xdr:colOff>
      <xdr:row>8</xdr:row>
      <xdr:rowOff>123825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CB3536A6-4F74-4FE5-9F00-1F73681744EC}"/>
            </a:ext>
          </a:extLst>
        </xdr:cNvPr>
        <xdr:cNvCxnSpPr/>
      </xdr:nvCxnSpPr>
      <xdr:spPr>
        <a:xfrm>
          <a:off x="673893" y="1219200"/>
          <a:ext cx="23813" cy="4286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464344</xdr:colOff>
      <xdr:row>7</xdr:row>
      <xdr:rowOff>59531</xdr:rowOff>
    </xdr:from>
    <xdr:to>
      <xdr:col>3</xdr:col>
      <xdr:colOff>464344</xdr:colOff>
      <xdr:row>9</xdr:row>
      <xdr:rowOff>44291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2738F722-07A2-4F96-BEAD-2E22733971AF}"/>
            </a:ext>
          </a:extLst>
        </xdr:cNvPr>
        <xdr:cNvCxnSpPr/>
      </xdr:nvCxnSpPr>
      <xdr:spPr>
        <a:xfrm>
          <a:off x="1619250" y="1393031"/>
          <a:ext cx="0" cy="36576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211932</xdr:colOff>
      <xdr:row>7</xdr:row>
      <xdr:rowOff>33337</xdr:rowOff>
    </xdr:from>
    <xdr:to>
      <xdr:col>7</xdr:col>
      <xdr:colOff>211932</xdr:colOff>
      <xdr:row>9</xdr:row>
      <xdr:rowOff>18097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65B89B6A-24B7-4073-98D2-D831AE934716}"/>
            </a:ext>
          </a:extLst>
        </xdr:cNvPr>
        <xdr:cNvCxnSpPr/>
      </xdr:nvCxnSpPr>
      <xdr:spPr>
        <a:xfrm>
          <a:off x="3795713" y="1366837"/>
          <a:ext cx="0" cy="36576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364331</xdr:colOff>
      <xdr:row>5</xdr:row>
      <xdr:rowOff>185737</xdr:rowOff>
    </xdr:from>
    <xdr:to>
      <xdr:col>12</xdr:col>
      <xdr:colOff>90488</xdr:colOff>
      <xdr:row>7</xdr:row>
      <xdr:rowOff>66674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F8A43200-2BB4-47C7-8320-1F63713354EB}"/>
            </a:ext>
          </a:extLst>
        </xdr:cNvPr>
        <xdr:cNvSpPr txBox="1"/>
      </xdr:nvSpPr>
      <xdr:spPr>
        <a:xfrm>
          <a:off x="5162550" y="1138237"/>
          <a:ext cx="1547813" cy="261937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Avg. Gas</a:t>
          </a:r>
          <a:r>
            <a:rPr lang="en-US" sz="1100" b="1" baseline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Used</a:t>
          </a:r>
          <a:endParaRPr lang="en-US" sz="1100" b="1">
            <a:solidFill>
              <a:schemeClr val="bg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9</xdr:col>
      <xdr:colOff>488156</xdr:colOff>
      <xdr:row>7</xdr:row>
      <xdr:rowOff>95250</xdr:rowOff>
    </xdr:from>
    <xdr:to>
      <xdr:col>12</xdr:col>
      <xdr:colOff>369094</xdr:colOff>
      <xdr:row>9</xdr:row>
      <xdr:rowOff>23812</xdr:rowOff>
    </xdr:to>
    <xdr:sp macro="" textlink="'Dex trade volume by weekday'!E22">
      <xdr:nvSpPr>
        <xdr:cNvPr id="63" name="TextBox 62">
          <a:extLst>
            <a:ext uri="{FF2B5EF4-FFF2-40B4-BE49-F238E27FC236}">
              <a16:creationId xmlns:a16="http://schemas.microsoft.com/office/drawing/2014/main" id="{20790F0A-6FF2-4203-A3AA-DE985C12A3A0}"/>
            </a:ext>
          </a:extLst>
        </xdr:cNvPr>
        <xdr:cNvSpPr txBox="1"/>
      </xdr:nvSpPr>
      <xdr:spPr>
        <a:xfrm>
          <a:off x="5286375" y="1428750"/>
          <a:ext cx="1702594" cy="309562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B349676-3B43-4354-989F-C5F807D6C124}" type="TxLink">
            <a:rPr lang="en-US" sz="1400" b="1" i="0" u="none" strike="noStrike">
              <a:solidFill>
                <a:schemeClr val="bg1"/>
              </a:solidFill>
              <a:latin typeface="Calibri"/>
              <a:cs typeface="Calibri"/>
            </a:rPr>
            <a:pPr/>
            <a:t>34834752101</a:t>
          </a:fld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11</xdr:col>
      <xdr:colOff>595314</xdr:colOff>
      <xdr:row>5</xdr:row>
      <xdr:rowOff>130969</xdr:rowOff>
    </xdr:from>
    <xdr:to>
      <xdr:col>12</xdr:col>
      <xdr:colOff>452437</xdr:colOff>
      <xdr:row>7</xdr:row>
      <xdr:rowOff>107156</xdr:rowOff>
    </xdr:to>
    <xdr:pic>
      <xdr:nvPicPr>
        <xdr:cNvPr id="65" name="Graphic 64" descr="Gauge with solid fill">
          <a:extLst>
            <a:ext uri="{FF2B5EF4-FFF2-40B4-BE49-F238E27FC236}">
              <a16:creationId xmlns:a16="http://schemas.microsoft.com/office/drawing/2014/main" id="{04DFDC77-1CD5-462A-BF73-404FEAE06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6607970" y="1083469"/>
          <a:ext cx="464342" cy="357187"/>
        </a:xfrm>
        <a:prstGeom prst="rect">
          <a:avLst/>
        </a:prstGeom>
      </xdr:spPr>
    </xdr:pic>
    <xdr:clientData/>
  </xdr:twoCellAnchor>
  <xdr:twoCellAnchor editAs="oneCell">
    <xdr:from>
      <xdr:col>8</xdr:col>
      <xdr:colOff>250031</xdr:colOff>
      <xdr:row>6</xdr:row>
      <xdr:rowOff>1</xdr:rowOff>
    </xdr:from>
    <xdr:to>
      <xdr:col>9</xdr:col>
      <xdr:colOff>130968</xdr:colOff>
      <xdr:row>7</xdr:row>
      <xdr:rowOff>83345</xdr:rowOff>
    </xdr:to>
    <xdr:pic>
      <xdr:nvPicPr>
        <xdr:cNvPr id="67" name="Graphic 66" descr="Dollar with solid fill">
          <a:extLst>
            <a:ext uri="{FF2B5EF4-FFF2-40B4-BE49-F238E27FC236}">
              <a16:creationId xmlns:a16="http://schemas.microsoft.com/office/drawing/2014/main" id="{6EFB1D6E-AE0A-4040-8DF5-64CBAE011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441031" y="1143001"/>
          <a:ext cx="488156" cy="273844"/>
        </a:xfrm>
        <a:prstGeom prst="rect">
          <a:avLst/>
        </a:prstGeom>
      </xdr:spPr>
    </xdr:pic>
    <xdr:clientData/>
  </xdr:twoCellAnchor>
  <xdr:twoCellAnchor>
    <xdr:from>
      <xdr:col>13</xdr:col>
      <xdr:colOff>111918</xdr:colOff>
      <xdr:row>5</xdr:row>
      <xdr:rowOff>183355</xdr:rowOff>
    </xdr:from>
    <xdr:to>
      <xdr:col>16</xdr:col>
      <xdr:colOff>250032</xdr:colOff>
      <xdr:row>7</xdr:row>
      <xdr:rowOff>71437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2221D971-6E3A-4BB9-B47E-87E5F0109AD8}"/>
            </a:ext>
          </a:extLst>
        </xdr:cNvPr>
        <xdr:cNvSpPr txBox="1"/>
      </xdr:nvSpPr>
      <xdr:spPr>
        <a:xfrm>
          <a:off x="7339012" y="1135855"/>
          <a:ext cx="1959770" cy="269082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Most</a:t>
          </a:r>
          <a:r>
            <a:rPr lang="en-US" sz="1000" b="1" baseline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Sold/Bought Token</a:t>
          </a:r>
          <a:endParaRPr lang="en-US" sz="1000" b="1">
            <a:solidFill>
              <a:schemeClr val="bg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13</xdr:col>
      <xdr:colOff>200025</xdr:colOff>
      <xdr:row>7</xdr:row>
      <xdr:rowOff>104775</xdr:rowOff>
    </xdr:from>
    <xdr:to>
      <xdr:col>14</xdr:col>
      <xdr:colOff>142874</xdr:colOff>
      <xdr:row>9</xdr:row>
      <xdr:rowOff>33337</xdr:rowOff>
    </xdr:to>
    <xdr:sp macro="" textlink="'DEX most traded token'!A8">
      <xdr:nvSpPr>
        <xdr:cNvPr id="69" name="TextBox 68">
          <a:extLst>
            <a:ext uri="{FF2B5EF4-FFF2-40B4-BE49-F238E27FC236}">
              <a16:creationId xmlns:a16="http://schemas.microsoft.com/office/drawing/2014/main" id="{A45C2231-5A3A-4A09-BB8A-91AAB0C3A9B6}"/>
            </a:ext>
          </a:extLst>
        </xdr:cNvPr>
        <xdr:cNvSpPr txBox="1"/>
      </xdr:nvSpPr>
      <xdr:spPr>
        <a:xfrm>
          <a:off x="7427119" y="1438275"/>
          <a:ext cx="550068" cy="309562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7E4C6DD-9FC2-46BC-B2C0-C17F0BB97BEE}" type="TxLink">
            <a:rPr lang="en-US" sz="1400" b="1" i="0" u="none" strike="noStrike">
              <a:solidFill>
                <a:schemeClr val="bg1"/>
              </a:solidFill>
              <a:latin typeface="Calibri"/>
              <a:cs typeface="Calibri"/>
            </a:rPr>
            <a:pPr/>
            <a:t>AXS</a:t>
          </a:fld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464343</xdr:colOff>
      <xdr:row>7</xdr:row>
      <xdr:rowOff>114300</xdr:rowOff>
    </xdr:from>
    <xdr:to>
      <xdr:col>15</xdr:col>
      <xdr:colOff>569119</xdr:colOff>
      <xdr:row>9</xdr:row>
      <xdr:rowOff>42862</xdr:rowOff>
    </xdr:to>
    <xdr:sp macro="" textlink="'DEX most traded token'!A25">
      <xdr:nvSpPr>
        <xdr:cNvPr id="70" name="TextBox 69">
          <a:extLst>
            <a:ext uri="{FF2B5EF4-FFF2-40B4-BE49-F238E27FC236}">
              <a16:creationId xmlns:a16="http://schemas.microsoft.com/office/drawing/2014/main" id="{56BF9347-1C54-4A4E-842F-85FD360FE1AD}"/>
            </a:ext>
          </a:extLst>
        </xdr:cNvPr>
        <xdr:cNvSpPr txBox="1"/>
      </xdr:nvSpPr>
      <xdr:spPr>
        <a:xfrm>
          <a:off x="8298656" y="1447800"/>
          <a:ext cx="711994" cy="309562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FBC680C-73B8-499D-BC0B-4E6FB1EC81B8}" type="TxLink">
            <a:rPr lang="en-US" sz="1400" b="1" i="0" u="none" strike="noStrike">
              <a:solidFill>
                <a:schemeClr val="bg1"/>
              </a:solidFill>
              <a:latin typeface="Calibri"/>
              <a:cs typeface="Calibri"/>
            </a:rPr>
            <a:pPr/>
            <a:t>WRON</a:t>
          </a:fld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352425</xdr:colOff>
      <xdr:row>7</xdr:row>
      <xdr:rowOff>54769</xdr:rowOff>
    </xdr:from>
    <xdr:to>
      <xdr:col>14</xdr:col>
      <xdr:colOff>352425</xdr:colOff>
      <xdr:row>9</xdr:row>
      <xdr:rowOff>39529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54B8FFDA-B90A-4E89-869B-86C4FF136AF4}"/>
            </a:ext>
          </a:extLst>
        </xdr:cNvPr>
        <xdr:cNvCxnSpPr/>
      </xdr:nvCxnSpPr>
      <xdr:spPr>
        <a:xfrm>
          <a:off x="8186738" y="1388269"/>
          <a:ext cx="0" cy="36576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576263</xdr:colOff>
      <xdr:row>5</xdr:row>
      <xdr:rowOff>183356</xdr:rowOff>
    </xdr:from>
    <xdr:to>
      <xdr:col>19</xdr:col>
      <xdr:colOff>381000</xdr:colOff>
      <xdr:row>8</xdr:row>
      <xdr:rowOff>47625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34247C0F-EE3A-4003-B82E-9C8CD3D0F5B5}"/>
            </a:ext>
          </a:extLst>
        </xdr:cNvPr>
        <xdr:cNvSpPr txBox="1"/>
      </xdr:nvSpPr>
      <xdr:spPr>
        <a:xfrm>
          <a:off x="9625013" y="1135856"/>
          <a:ext cx="1626393" cy="435769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Most Used NFT token Standard</a:t>
          </a:r>
        </a:p>
      </xdr:txBody>
    </xdr:sp>
    <xdr:clientData/>
  </xdr:twoCellAnchor>
  <xdr:twoCellAnchor>
    <xdr:from>
      <xdr:col>16</xdr:col>
      <xdr:colOff>592931</xdr:colOff>
      <xdr:row>7</xdr:row>
      <xdr:rowOff>159544</xdr:rowOff>
    </xdr:from>
    <xdr:to>
      <xdr:col>18</xdr:col>
      <xdr:colOff>90487</xdr:colOff>
      <xdr:row>9</xdr:row>
      <xdr:rowOff>88106</xdr:rowOff>
    </xdr:to>
    <xdr:sp macro="" textlink="'top 10 wallet addresses'!E5">
      <xdr:nvSpPr>
        <xdr:cNvPr id="73" name="TextBox 72">
          <a:extLst>
            <a:ext uri="{FF2B5EF4-FFF2-40B4-BE49-F238E27FC236}">
              <a16:creationId xmlns:a16="http://schemas.microsoft.com/office/drawing/2014/main" id="{5BFF447A-553A-4125-8123-AD6FFAECF08E}"/>
            </a:ext>
          </a:extLst>
        </xdr:cNvPr>
        <xdr:cNvSpPr txBox="1"/>
      </xdr:nvSpPr>
      <xdr:spPr>
        <a:xfrm>
          <a:off x="9641681" y="1493044"/>
          <a:ext cx="711994" cy="309562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1670A0CC-DFD9-4EFA-8C68-59D8456E4042}" type="TxLink">
            <a:rPr lang="en-US" sz="14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/>
            <a:t>erc721</a:t>
          </a:fld>
          <a:endParaRPr lang="en-US" sz="14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 editAs="oneCell">
    <xdr:from>
      <xdr:col>2</xdr:col>
      <xdr:colOff>190500</xdr:colOff>
      <xdr:row>1</xdr:row>
      <xdr:rowOff>35719</xdr:rowOff>
    </xdr:from>
    <xdr:to>
      <xdr:col>4</xdr:col>
      <xdr:colOff>345280</xdr:colOff>
      <xdr:row>4</xdr:row>
      <xdr:rowOff>23814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432D70-EBAA-44CD-900C-B0C71FF5A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alphaModFix amt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188" y="226219"/>
          <a:ext cx="1369217" cy="559595"/>
        </a:xfrm>
        <a:prstGeom prst="rect">
          <a:avLst/>
        </a:prstGeom>
        <a:ln>
          <a:noFill/>
        </a:ln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4" xr16:uid="{2648570C-9C05-4042-8012-AAEE24241098}" autoFormatId="16" applyNumberFormats="0" applyBorderFormats="0" applyFontFormats="0" applyPatternFormats="0" applyAlignmentFormats="0" applyWidthHeightFormats="0">
  <queryTableRefresh nextId="4">
    <queryTableFields count="3">
      <queryTableField id="1" name="wallet_address" tableColumnId="1"/>
      <queryTableField id="2" name="total_count" tableColumnId="2"/>
      <queryTableField id="3" name="total_amoun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3" xr16:uid="{98F40A6E-24D0-44F8-8450-16151E051DFA}" autoFormatId="16" applyNumberFormats="0" applyBorderFormats="0" applyFontFormats="0" applyPatternFormats="0" applyAlignmentFormats="0" applyWidthHeightFormats="0">
  <queryTableRefresh nextId="4">
    <queryTableFields count="3">
      <queryTableField id="1" name="nft_token_standard" tableColumnId="1"/>
      <queryTableField id="2" name="total_trades" tableColumnId="2"/>
      <queryTableField id="3" name="total_nft_trade_usd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9" xr16:uid="{6C9B9302-015D-4A97-B662-B3463642C7EF}" autoFormatId="16" applyNumberFormats="0" applyBorderFormats="0" applyFontFormats="0" applyPatternFormats="0" applyAlignmentFormats="0" applyWidthHeightFormats="0">
  <queryTableRefresh nextId="4">
    <queryTableFields count="3">
      <queryTableField id="1" name="wallet_address" tableColumnId="1"/>
      <queryTableField id="2" name="total_count" tableColumnId="2"/>
      <queryTableField id="3" name="total_amoun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3" xr16:uid="{513F414A-C483-4FF8-93D9-BCD8024F3866}" autoFormatId="16" applyNumberFormats="0" applyBorderFormats="0" applyFontFormats="0" applyPatternFormats="0" applyAlignmentFormats="0" applyWidthHeightFormats="0">
  <queryTableRefresh nextId="6">
    <queryTableFields count="5">
      <queryTableField id="1" name="wallet_address" tableColumnId="1"/>
      <queryTableField id="2" name="total_count" tableColumnId="2"/>
      <queryTableField id="3" name="total_amount" tableColumnId="3"/>
      <queryTableField id="4" name="nft_total_count" tableColumnId="4"/>
      <queryTableField id="5" name="nft_total_amount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174DE693-2814-43B9-BC94-3BCED98A7562}" autoFormatId="16" applyNumberFormats="0" applyBorderFormats="0" applyFontFormats="0" applyPatternFormats="0" applyAlignmentFormats="0" applyWidthHeightFormats="0">
  <queryTableRefresh nextId="4">
    <queryTableFields count="3">
      <queryTableField id="1" name="weekday_name" tableColumnId="1"/>
      <queryTableField id="2" name="total_transactions" tableColumnId="2"/>
      <queryTableField id="3" name="total_dex_value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1" xr16:uid="{60BB45F3-BAC1-43E9-805C-A1704D93B512}" autoFormatId="16" applyNumberFormats="0" applyBorderFormats="0" applyFontFormats="0" applyPatternFormats="0" applyAlignmentFormats="0" applyWidthHeightFormats="0">
  <queryTableRefresh nextId="4">
    <queryTableFields count="3">
      <queryTableField id="1" name="weekday_name" tableColumnId="1"/>
      <queryTableField id="2" name="total_transactions" tableColumnId="2"/>
      <queryTableField id="3" name="total_dex_value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2" xr16:uid="{CD313818-D6F6-4261-B50B-0704B5820CE5}" autoFormatId="16" applyNumberFormats="0" applyBorderFormats="0" applyFontFormats="0" applyPatternFormats="0" applyAlignmentFormats="0" applyWidthHeightFormats="0">
  <queryTableRefresh nextId="6">
    <queryTableFields count="5">
      <queryTableField id="1" name="weekday_name" tableColumnId="1"/>
      <queryTableField id="2" name="dex_count" tableColumnId="2"/>
      <queryTableField id="3" name="nft_count" tableColumnId="3"/>
      <queryTableField id="4" name="total_dex_value" tableColumnId="4"/>
      <queryTableField id="5" name="total_nft_value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6" xr16:uid="{D4FB4B13-BE57-40AC-A1EE-F155A1965322}" autoFormatId="16" applyNumberFormats="0" applyBorderFormats="0" applyFontFormats="0" applyPatternFormats="0" applyAlignmentFormats="0" applyWidthHeightFormats="0">
  <queryTableRefresh nextId="6">
    <queryTableFields count="5">
      <queryTableField id="1" name="weekday_name" tableColumnId="1"/>
      <queryTableField id="2" name="total_transaction" tableColumnId="2"/>
      <queryTableField id="3" name="highest" tableColumnId="3"/>
      <queryTableField id="4" name="lowest" tableColumnId="4"/>
      <queryTableField id="5" name="average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11E5F3F7-252E-4AE8-9244-1DFE9D7059F4}" autoFormatId="16" applyNumberFormats="0" applyBorderFormats="0" applyFontFormats="0" applyPatternFormats="0" applyAlignmentFormats="0" applyWidthHeightFormats="0">
  <queryTableRefresh nextId="4">
    <queryTableFields count="3">
      <queryTableField id="1" name="month_name" tableColumnId="1"/>
      <queryTableField id="2" name="avg_dex_trade_usd" tableColumnId="2"/>
      <queryTableField id="3" name="avg_nft_trade_usd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9306F9F1-F5F0-4F27-A34E-3E1A53936CE7}" autoFormatId="16" applyNumberFormats="0" applyBorderFormats="0" applyFontFormats="0" applyPatternFormats="0" applyAlignmentFormats="0" applyWidthHeightFormats="0">
  <queryTableRefresh nextId="3">
    <queryTableFields count="2">
      <queryTableField id="1" name="avg_dex_trade_usd" tableColumnId="1"/>
      <queryTableField id="2" name="avg_nft_trade_usd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6" xr16:uid="{38208C33-83F0-41CB-BCB0-552F534E8440}" autoFormatId="16" applyNumberFormats="0" applyBorderFormats="0" applyFontFormats="0" applyPatternFormats="0" applyAlignmentFormats="0" applyWidthHeightFormats="0">
  <queryTableRefresh nextId="7">
    <queryTableFields count="6">
      <queryTableField id="1" name="month_number" tableColumnId="1"/>
      <queryTableField id="2" name="month_name" tableColumnId="2"/>
      <queryTableField id="3" name="total_transactions" tableColumnId="3"/>
      <queryTableField id="4" name="total_nft_trans" tableColumnId="4"/>
      <queryTableField id="5" name="total_dex_trade_usd" tableColumnId="5"/>
      <queryTableField id="6" name="total_nft_trade_usd" tableColumnId="6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E8912556-F12D-4B23-B3E4-BEDE9CE30185}" autoFormatId="16" applyNumberFormats="0" applyBorderFormats="0" applyFontFormats="0" applyPatternFormats="0" applyAlignmentFormats="0" applyWidthHeightFormats="0">
  <queryTableRefresh nextId="4">
    <queryTableFields count="3">
      <queryTableField id="1" name="token_symbol" tableColumnId="1"/>
      <queryTableField id="2" name="times_sold" tableColumnId="2"/>
      <queryTableField id="3" name="total_value_sold_usd" tableColumnId="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69762F8B-0FFE-4AD7-8CF3-ABA6F4862EE1}" autoFormatId="16" applyNumberFormats="0" applyBorderFormats="0" applyFontFormats="0" applyPatternFormats="0" applyAlignmentFormats="0" applyWidthHeightFormats="0">
  <queryTableRefresh nextId="4">
    <queryTableFields count="3">
      <queryTableField id="1" name="token_symbol" tableColumnId="1"/>
      <queryTableField id="2" name="times_bought" tableColumnId="2"/>
      <queryTableField id="3" name="total_value_bought_us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46E2D12-3076-4CF5-B7B9-8CB366BB36BA}" name="top_10_nft_wallet_transactions" displayName="top_10_nft_wallet_transactions" ref="A18:C28" tableType="queryTable" totalsRowShown="0">
  <tableColumns count="3">
    <tableColumn id="1" xr3:uid="{3CB4C69C-BB45-4886-95E6-3069F0EE9ED6}" uniqueName="1" name="wallet_address" queryTableFieldId="1" dataDxfId="13"/>
    <tableColumn id="2" xr3:uid="{8B7B211B-9FAD-4A53-8A3D-ADFB442C2146}" uniqueName="2" name="total_count" queryTableFieldId="2"/>
    <tableColumn id="3" xr3:uid="{8F15117E-8214-4933-B621-C36809C66402}" uniqueName="3" name="total_amount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802382E-8467-4A3E-BDA3-2BEE28E49CBC}" name="Token_type_breakdown" displayName="Token_type_breakdown" ref="E3:G6" tableType="queryTable" totalsRowShown="0">
  <autoFilter ref="E3:G6" xr:uid="{3802382E-8467-4A3E-BDA3-2BEE28E49CBC}"/>
  <tableColumns count="3">
    <tableColumn id="1" xr3:uid="{372EC929-F4AC-4D1A-BB26-6B0627A0A56D}" uniqueName="1" name="nft_token_standard" queryTableFieldId="1" dataDxfId="12"/>
    <tableColumn id="2" xr3:uid="{20E88DAE-4D24-41F9-9FBF-81674813044C}" uniqueName="2" name="total_trades" queryTableFieldId="2"/>
    <tableColumn id="3" xr3:uid="{26306D3B-B715-4EEF-AA63-1C10C36520A9}" uniqueName="3" name="total_nft_trade_usd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4D7B8A9-3A72-467E-BE2A-1EAE4C9B01E1}" name="new_top_10_dex_trade_wallet" displayName="new_top_10_dex_trade_wallet" ref="A3:C13" tableType="queryTable" totalsRowShown="0">
  <autoFilter ref="A3:C13" xr:uid="{34D7B8A9-3A72-467E-BE2A-1EAE4C9B01E1}"/>
  <tableColumns count="3">
    <tableColumn id="1" xr3:uid="{14C51C74-3AE1-436F-B333-7C82E5BBEB65}" uniqueName="1" name="wallet_address" queryTableFieldId="1" dataDxfId="11"/>
    <tableColumn id="2" xr3:uid="{54DAB7A9-8C2A-4E7A-AE43-3123778858BC}" uniqueName="2" name="total_count" queryTableFieldId="2"/>
    <tableColumn id="3" xr3:uid="{A97BE71A-F563-44A2-9A1B-FEE9AFB71FE5}" uniqueName="3" name="total_amount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EA5D00-4C99-4E75-84C7-43F080FEF10D}" name="Combined_wallet_activity_summary" displayName="Combined_wallet_activity_summary" ref="E18:I28" tableType="queryTable" totalsRowShown="0">
  <autoFilter ref="E18:I28" xr:uid="{7AEA5D00-4C99-4E75-84C7-43F080FEF10D}"/>
  <sortState xmlns:xlrd2="http://schemas.microsoft.com/office/spreadsheetml/2017/richdata2" ref="E19:I28">
    <sortCondition ref="I18:I28"/>
  </sortState>
  <tableColumns count="5">
    <tableColumn id="1" xr3:uid="{AF0F6846-B287-4851-95DF-B494675E2B3E}" uniqueName="1" name="wallet_address" queryTableFieldId="1" dataDxfId="10"/>
    <tableColumn id="2" xr3:uid="{8A3777F1-930B-4943-BBC8-B6D305144449}" uniqueName="2" name="total_count" queryTableFieldId="2"/>
    <tableColumn id="3" xr3:uid="{1DB54634-20B4-4973-BD39-762EF21FECBC}" uniqueName="3" name="total_amount" queryTableFieldId="3"/>
    <tableColumn id="4" xr3:uid="{A34324B8-B972-496A-A488-4F8D21CFFC0D}" uniqueName="4" name="nft_total_count" queryTableFieldId="4"/>
    <tableColumn id="5" xr3:uid="{E6F7F087-DF89-4650-9BA1-F3A30EB77D17}" uniqueName="5" name="nft_total_amount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B7B551D-CF0E-43A4-AD01-20B5262AF8F3}" name="Dex_trade_volume_by_weekday" displayName="Dex_trade_volume_by_weekday" ref="A26:C33" tableType="queryTable" totalsRowShown="0">
  <autoFilter ref="A26:C33" xr:uid="{9B7B551D-CF0E-43A4-AD01-20B5262AF8F3}"/>
  <tableColumns count="3">
    <tableColumn id="1" xr3:uid="{D37F8138-52A5-43D2-9379-2C3BCD2A1FD5}" uniqueName="1" name="weekday_name" queryTableFieldId="1" dataDxfId="9"/>
    <tableColumn id="2" xr3:uid="{543CAB97-0641-4E4F-9700-F6884A597934}" uniqueName="2" name="total_transactions" queryTableFieldId="2"/>
    <tableColumn id="3" xr3:uid="{81A4B1FB-F582-4B80-825F-68273467FFDC}" uniqueName="3" name="total_dex_value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8F8BF6F-7C86-4E9A-A81B-555DEBB76C04}" name="Nft_trade_volume_transaction_by_weekday10" displayName="Nft_trade_volume_transaction_by_weekday10" ref="E26:G33" tableType="queryTable" totalsRowShown="0">
  <autoFilter ref="E26:G33" xr:uid="{48F8BF6F-7C86-4E9A-A81B-555DEBB76C04}"/>
  <sortState xmlns:xlrd2="http://schemas.microsoft.com/office/spreadsheetml/2017/richdata2" ref="E27:G33">
    <sortCondition descending="1" ref="G26:G33"/>
  </sortState>
  <tableColumns count="3">
    <tableColumn id="1" xr3:uid="{0B92690B-8E92-4B8E-B4E1-D0FA27A7D3CB}" uniqueName="1" name="weekday_name" queryTableFieldId="1" dataDxfId="8"/>
    <tableColumn id="2" xr3:uid="{73B22EC0-7DD5-4F4E-A403-970092CA1A0F}" uniqueName="2" name="total_transactions" queryTableFieldId="2"/>
    <tableColumn id="3" xr3:uid="{1C023DE9-43B9-4B4C-85F0-E595C9496437}" uniqueName="3" name="total_dex_value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3C4A9A9-5DC6-40D2-8574-225F0460F499}" name="NFT_DEX_weekly_trade_analysis" displayName="NFT_DEX_weekly_trade_analysis" ref="A3:E10" tableType="queryTable" totalsRowShown="0">
  <autoFilter ref="A3:E10" xr:uid="{93C4A9A9-5DC6-40D2-8574-225F0460F499}"/>
  <tableColumns count="5">
    <tableColumn id="1" xr3:uid="{2CA5EB2D-789C-435E-A225-6B506FD8A317}" uniqueName="1" name="weekday_name" queryTableFieldId="1" dataDxfId="7"/>
    <tableColumn id="2" xr3:uid="{B36DCD53-493D-4FF0-A176-4BA307FD849F}" uniqueName="2" name="dex_count" queryTableFieldId="2"/>
    <tableColumn id="3" xr3:uid="{612FC0D9-3598-485E-BCC3-F0B6FE39DD36}" uniqueName="3" name="nft_count" queryTableFieldId="3"/>
    <tableColumn id="4" xr3:uid="{A8918878-FBED-441E-AEF5-07661091A289}" uniqueName="4" name="total_dex_value" queryTableFieldId="4"/>
    <tableColumn id="5" xr3:uid="{30702E93-3FFC-4CFC-9E9B-B376001C6275}" uniqueName="5" name="total_nft_value" queryTableField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41B7913-FDC4-4F8B-9880-9B0F004328C1}" name="gas_price_by_weekdays17" displayName="gas_price_by_weekdays17" ref="A14:E22" tableType="queryTable" totalsRowShown="0">
  <autoFilter ref="A14:E22" xr:uid="{041B7913-FDC4-4F8B-9880-9B0F004328C1}"/>
  <sortState xmlns:xlrd2="http://schemas.microsoft.com/office/spreadsheetml/2017/richdata2" ref="A15:E21">
    <sortCondition ref="D14:D21"/>
  </sortState>
  <tableColumns count="5">
    <tableColumn id="1" xr3:uid="{7ADBB59F-FFAE-41E1-ADD9-D2B90334BC28}" uniqueName="1" name="weekday_name" queryTableFieldId="1" dataDxfId="6"/>
    <tableColumn id="2" xr3:uid="{6C7D5FB9-1374-4F73-B49D-4BA7CB7094FF}" uniqueName="2" name="total_transaction" queryTableFieldId="2"/>
    <tableColumn id="3" xr3:uid="{E98737F6-BAE4-4198-83CA-7C0A2D5B3EA3}" uniqueName="3" name="highest" queryTableFieldId="3"/>
    <tableColumn id="4" xr3:uid="{99BC54B3-A48D-4EB4-B99F-8C082C820FD7}" uniqueName="4" name="lowest" queryTableFieldId="4"/>
    <tableColumn id="5" xr3:uid="{2CCE936D-EE26-4BA5-945A-C59E5596CAD0}" uniqueName="5" name="average" queryTableFieldId="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EB456F7-AAD4-470C-81A8-29BCFE527A06}" name="avg_trade_value_dex___nfts" displayName="avg_trade_value_dex___nfts" ref="A11:C15" tableType="queryTable" totalsRowShown="0">
  <tableColumns count="3">
    <tableColumn id="1" xr3:uid="{E871054F-5550-45EF-BFB1-FAB7016DB18C}" uniqueName="1" name="month_name" queryTableFieldId="1" dataDxfId="5"/>
    <tableColumn id="2" xr3:uid="{88195F5D-67B1-483B-86C9-60155741FF10}" uniqueName="2" name="avg_dex_trade_usd" queryTableFieldId="2"/>
    <tableColumn id="3" xr3:uid="{02057EEA-8D9A-43AF-8F91-DBF27ED1533E}" uniqueName="3" name="avg_nft_trade_usd" queryTableFieldId="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05D438-52EF-463B-B45A-A743640C5341}" name="avg_dex___nfts_trade_value" displayName="avg_dex___nfts_trade_value" ref="A19:B21" tableType="queryTable" totalsRowShown="0">
  <tableColumns count="2">
    <tableColumn id="1" xr3:uid="{0B5E14F0-4526-4F84-93CA-F43C2BB570C4}" uniqueName="1" name="avg DEX trade" queryTableFieldId="1"/>
    <tableColumn id="2" xr3:uid="{87F20D3C-5DCC-4C3C-9523-2205A61271E3}" uniqueName="2" name="avg NFT trade" queryTableFieldId="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A914CDD-AE49-46B5-B190-0B3F408B5837}" name="Trade_volume_by_month" displayName="Trade_volume_by_month" ref="A3:F8" tableType="queryTable" totalsRowShown="0">
  <tableColumns count="6">
    <tableColumn id="1" xr3:uid="{C9C9D086-4D6E-4383-B7BE-1BE2186C94F0}" uniqueName="1" name="month_number" queryTableFieldId="1"/>
    <tableColumn id="2" xr3:uid="{F36C0187-BADA-476A-A4E3-9247B83C04F7}" uniqueName="2" name="month_name" queryTableFieldId="2" dataDxfId="4"/>
    <tableColumn id="3" xr3:uid="{44EDE305-9783-418A-AE55-65583945705C}" uniqueName="3" name="total_transactions" queryTableFieldId="3"/>
    <tableColumn id="4" xr3:uid="{56DD83B7-F854-48D5-ABD7-DE38F0A74AFD}" uniqueName="4" name="total_nft_trans" queryTableFieldId="4"/>
    <tableColumn id="5" xr3:uid="{4BFCBD4C-D9B1-4AF1-8326-CAD03F77A0FE}" uniqueName="5" name="total_dex_trade_usd" queryTableFieldId="5" dataDxfId="3"/>
    <tableColumn id="6" xr3:uid="{FB861A7C-AB9B-4BE5-9542-114A57722144}" uniqueName="6" name="total_nft_trade_usd" queryTableFieldId="6" dataDxfId="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136A78-3BC3-4565-B79A-CA9663F043AD}" name="Most_sold_token" displayName="Most_sold_token" ref="A3:C16" tableType="queryTable">
  <autoFilter ref="A3:C16" xr:uid="{39136A78-3BC3-4565-B79A-CA9663F043AD}">
    <filterColumn colId="1">
      <top10 val="5" filterVal="5"/>
    </filterColumn>
  </autoFilter>
  <sortState xmlns:xlrd2="http://schemas.microsoft.com/office/spreadsheetml/2017/richdata2" ref="A4:C8">
    <sortCondition ref="B3:B16"/>
  </sortState>
  <tableColumns count="3">
    <tableColumn id="1" xr3:uid="{69866232-3CEC-44D7-B2B2-9F03A33543D3}" uniqueName="1" name="token_symbol" totalsRowLabel="Total" queryTableFieldId="1" dataDxfId="1"/>
    <tableColumn id="2" xr3:uid="{600B460E-342C-40F9-82CF-1C687F67BDD1}" uniqueName="2" name="times_sold" queryTableFieldId="2"/>
    <tableColumn id="3" xr3:uid="{721B89C2-D94E-4BCF-8F45-C9A507FEA765}" uniqueName="3" name="total_value_sold_usd" totalsRowFunction="sum" queryTableFieldId="3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A868BE-7347-4E03-B400-11009AC1CFDD}" name="Most_bought_token" displayName="Most_bought_token" ref="A20:C26" tableType="queryTable" totalsRowShown="0">
  <autoFilter ref="A20:C26" xr:uid="{68A868BE-7347-4E03-B400-11009AC1CFDD}">
    <filterColumn colId="1">
      <top10 val="5" filterVal="3"/>
    </filterColumn>
  </autoFilter>
  <sortState xmlns:xlrd2="http://schemas.microsoft.com/office/spreadsheetml/2017/richdata2" ref="A21:C25">
    <sortCondition ref="B20:B26"/>
  </sortState>
  <tableColumns count="3">
    <tableColumn id="1" xr3:uid="{CA3E2593-EAFC-499A-A668-47995BEC0A99}" uniqueName="1" name="token_symbol" queryTableFieldId="1" dataDxfId="0"/>
    <tableColumn id="2" xr3:uid="{482E3298-FDA8-405C-A228-8A7DB595AFAE}" uniqueName="2" name="times_bought" queryTableFieldId="2"/>
    <tableColumn id="3" xr3:uid="{8A2A22D5-8660-43A3-BD97-3A2E60705C71}" uniqueName="3" name="total_value_bought_us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E5F7C-456B-4F24-9FE8-17375EFCBB43}">
  <dimension ref="A1:I28"/>
  <sheetViews>
    <sheetView workbookViewId="0">
      <selection activeCell="E13" sqref="E13"/>
    </sheetView>
  </sheetViews>
  <sheetFormatPr defaultRowHeight="15" x14ac:dyDescent="0.25"/>
  <cols>
    <col min="1" max="1" width="53.5703125" customWidth="1"/>
    <col min="2" max="2" width="13.42578125" bestFit="1" customWidth="1"/>
    <col min="3" max="3" width="15.42578125" bestFit="1" customWidth="1"/>
    <col min="5" max="5" width="45" bestFit="1" customWidth="1"/>
    <col min="6" max="6" width="14" bestFit="1" customWidth="1"/>
    <col min="7" max="7" width="21.140625" bestFit="1" customWidth="1"/>
  </cols>
  <sheetData>
    <row r="1" spans="1:7" ht="18.75" x14ac:dyDescent="0.3">
      <c r="A1" s="2" t="s">
        <v>69</v>
      </c>
      <c r="E1" s="2" t="s">
        <v>71</v>
      </c>
    </row>
    <row r="3" spans="1:7" x14ac:dyDescent="0.25">
      <c r="A3" t="s">
        <v>52</v>
      </c>
      <c r="B3" t="s">
        <v>53</v>
      </c>
      <c r="C3" t="s">
        <v>54</v>
      </c>
      <c r="E3" t="s">
        <v>47</v>
      </c>
      <c r="F3" t="s">
        <v>48</v>
      </c>
      <c r="G3" t="s">
        <v>49</v>
      </c>
    </row>
    <row r="4" spans="1:7" x14ac:dyDescent="0.25">
      <c r="A4" s="1" t="s">
        <v>59</v>
      </c>
      <c r="B4">
        <v>492</v>
      </c>
      <c r="C4">
        <v>574.64</v>
      </c>
      <c r="E4" s="1" t="s">
        <v>84</v>
      </c>
      <c r="F4">
        <v>602</v>
      </c>
      <c r="G4">
        <v>1466.97</v>
      </c>
    </row>
    <row r="5" spans="1:7" x14ac:dyDescent="0.25">
      <c r="A5" s="1" t="s">
        <v>60</v>
      </c>
      <c r="B5">
        <v>100</v>
      </c>
      <c r="C5">
        <v>401.64</v>
      </c>
      <c r="E5" s="1" t="s">
        <v>50</v>
      </c>
      <c r="F5">
        <v>80</v>
      </c>
      <c r="G5">
        <v>2862.31</v>
      </c>
    </row>
    <row r="6" spans="1:7" x14ac:dyDescent="0.25">
      <c r="A6" s="1" t="s">
        <v>64</v>
      </c>
      <c r="B6">
        <v>61</v>
      </c>
      <c r="C6">
        <v>176.64</v>
      </c>
      <c r="E6" s="1" t="s">
        <v>51</v>
      </c>
      <c r="F6">
        <v>16</v>
      </c>
      <c r="G6">
        <v>157.25</v>
      </c>
    </row>
    <row r="7" spans="1:7" x14ac:dyDescent="0.25">
      <c r="A7" s="1" t="s">
        <v>58</v>
      </c>
      <c r="B7">
        <v>17</v>
      </c>
      <c r="C7">
        <v>600.92999999999995</v>
      </c>
    </row>
    <row r="8" spans="1:7" x14ac:dyDescent="0.25">
      <c r="A8" s="1" t="s">
        <v>72</v>
      </c>
      <c r="B8">
        <v>5</v>
      </c>
      <c r="C8">
        <v>74.150000000000006</v>
      </c>
    </row>
    <row r="9" spans="1:7" x14ac:dyDescent="0.25">
      <c r="A9" s="1" t="s">
        <v>73</v>
      </c>
      <c r="B9">
        <v>4</v>
      </c>
      <c r="C9">
        <v>54.48</v>
      </c>
    </row>
    <row r="10" spans="1:7" x14ac:dyDescent="0.25">
      <c r="A10" s="1" t="s">
        <v>57</v>
      </c>
      <c r="B10">
        <v>2</v>
      </c>
      <c r="C10">
        <v>656.96</v>
      </c>
    </row>
    <row r="11" spans="1:7" x14ac:dyDescent="0.25">
      <c r="A11" s="1" t="s">
        <v>74</v>
      </c>
      <c r="B11">
        <v>2</v>
      </c>
      <c r="C11">
        <v>0.01</v>
      </c>
    </row>
    <row r="12" spans="1:7" x14ac:dyDescent="0.25">
      <c r="A12" s="1" t="s">
        <v>75</v>
      </c>
      <c r="B12">
        <v>2</v>
      </c>
      <c r="C12">
        <v>0</v>
      </c>
    </row>
    <row r="13" spans="1:7" x14ac:dyDescent="0.25">
      <c r="A13" s="1" t="s">
        <v>56</v>
      </c>
      <c r="B13">
        <v>1</v>
      </c>
      <c r="C13">
        <v>724.9</v>
      </c>
    </row>
    <row r="16" spans="1:7" ht="18.75" x14ac:dyDescent="0.3">
      <c r="A16" s="2" t="s">
        <v>70</v>
      </c>
    </row>
    <row r="18" spans="1:9" x14ac:dyDescent="0.25">
      <c r="A18" t="s">
        <v>52</v>
      </c>
      <c r="B18" t="s">
        <v>53</v>
      </c>
      <c r="C18" t="s">
        <v>54</v>
      </c>
      <c r="E18" t="s">
        <v>52</v>
      </c>
      <c r="F18" t="s">
        <v>53</v>
      </c>
      <c r="G18" t="s">
        <v>54</v>
      </c>
      <c r="H18" t="s">
        <v>80</v>
      </c>
      <c r="I18" t="s">
        <v>81</v>
      </c>
    </row>
    <row r="19" spans="1:9" x14ac:dyDescent="0.25">
      <c r="A19" s="1" t="s">
        <v>55</v>
      </c>
      <c r="B19">
        <v>1</v>
      </c>
      <c r="C19">
        <v>954.1</v>
      </c>
      <c r="E19" s="1" t="s">
        <v>64</v>
      </c>
      <c r="F19">
        <v>61</v>
      </c>
      <c r="G19">
        <v>176.64</v>
      </c>
      <c r="H19">
        <v>61</v>
      </c>
      <c r="I19">
        <v>58.97</v>
      </c>
    </row>
    <row r="20" spans="1:9" x14ac:dyDescent="0.25">
      <c r="A20" s="1" t="s">
        <v>56</v>
      </c>
      <c r="B20">
        <v>1</v>
      </c>
      <c r="C20">
        <v>718.33</v>
      </c>
      <c r="E20" s="1" t="s">
        <v>63</v>
      </c>
      <c r="F20">
        <v>1</v>
      </c>
      <c r="G20">
        <v>80.33</v>
      </c>
      <c r="H20">
        <v>1</v>
      </c>
      <c r="I20">
        <v>80.33</v>
      </c>
    </row>
    <row r="21" spans="1:9" x14ac:dyDescent="0.25">
      <c r="A21" s="1" t="s">
        <v>57</v>
      </c>
      <c r="B21">
        <v>2</v>
      </c>
      <c r="C21">
        <v>612.62</v>
      </c>
      <c r="E21" s="1" t="s">
        <v>62</v>
      </c>
      <c r="F21">
        <v>1</v>
      </c>
      <c r="G21">
        <v>82.8</v>
      </c>
      <c r="H21">
        <v>1</v>
      </c>
      <c r="I21">
        <v>82.8</v>
      </c>
    </row>
    <row r="22" spans="1:9" x14ac:dyDescent="0.25">
      <c r="A22" s="1" t="s">
        <v>58</v>
      </c>
      <c r="B22">
        <v>17</v>
      </c>
      <c r="C22">
        <v>590.82000000000005</v>
      </c>
      <c r="E22" s="1" t="s">
        <v>61</v>
      </c>
      <c r="F22">
        <v>1</v>
      </c>
      <c r="G22">
        <v>241.92</v>
      </c>
      <c r="H22">
        <v>1</v>
      </c>
      <c r="I22">
        <v>241.92</v>
      </c>
    </row>
    <row r="23" spans="1:9" x14ac:dyDescent="0.25">
      <c r="A23" s="1" t="s">
        <v>59</v>
      </c>
      <c r="B23">
        <v>492</v>
      </c>
      <c r="C23">
        <v>574.28</v>
      </c>
      <c r="E23" s="1" t="s">
        <v>60</v>
      </c>
      <c r="F23">
        <v>100</v>
      </c>
      <c r="G23">
        <v>401.64</v>
      </c>
      <c r="H23">
        <v>100</v>
      </c>
      <c r="I23">
        <v>406.3</v>
      </c>
    </row>
    <row r="24" spans="1:9" x14ac:dyDescent="0.25">
      <c r="A24" s="1" t="s">
        <v>60</v>
      </c>
      <c r="B24">
        <v>100</v>
      </c>
      <c r="C24">
        <v>406.3</v>
      </c>
      <c r="E24" s="1" t="s">
        <v>59</v>
      </c>
      <c r="F24">
        <v>492</v>
      </c>
      <c r="G24">
        <v>574.64</v>
      </c>
      <c r="H24">
        <v>492</v>
      </c>
      <c r="I24">
        <v>574.28</v>
      </c>
    </row>
    <row r="25" spans="1:9" x14ac:dyDescent="0.25">
      <c r="A25" s="1" t="s">
        <v>61</v>
      </c>
      <c r="B25">
        <v>1</v>
      </c>
      <c r="C25">
        <v>241.92</v>
      </c>
      <c r="E25" s="1" t="s">
        <v>58</v>
      </c>
      <c r="F25">
        <v>17</v>
      </c>
      <c r="G25">
        <v>600.92999999999995</v>
      </c>
      <c r="H25">
        <v>17</v>
      </c>
      <c r="I25">
        <v>590.82000000000005</v>
      </c>
    </row>
    <row r="26" spans="1:9" x14ac:dyDescent="0.25">
      <c r="A26" s="1" t="s">
        <v>62</v>
      </c>
      <c r="B26">
        <v>1</v>
      </c>
      <c r="C26">
        <v>82.8</v>
      </c>
      <c r="E26" s="1" t="s">
        <v>57</v>
      </c>
      <c r="F26">
        <v>2</v>
      </c>
      <c r="G26">
        <v>656.96</v>
      </c>
      <c r="H26">
        <v>2</v>
      </c>
      <c r="I26">
        <v>612.62</v>
      </c>
    </row>
    <row r="27" spans="1:9" x14ac:dyDescent="0.25">
      <c r="A27" s="1" t="s">
        <v>63</v>
      </c>
      <c r="B27">
        <v>1</v>
      </c>
      <c r="C27">
        <v>80.33</v>
      </c>
      <c r="E27" s="1" t="s">
        <v>56</v>
      </c>
      <c r="F27">
        <v>1</v>
      </c>
      <c r="G27">
        <v>724.9</v>
      </c>
      <c r="H27">
        <v>1</v>
      </c>
      <c r="I27">
        <v>718.33</v>
      </c>
    </row>
    <row r="28" spans="1:9" x14ac:dyDescent="0.25">
      <c r="A28" s="1" t="s">
        <v>64</v>
      </c>
      <c r="B28">
        <v>61</v>
      </c>
      <c r="C28">
        <v>58.97</v>
      </c>
      <c r="E28" s="1" t="s">
        <v>55</v>
      </c>
      <c r="F28">
        <v>1</v>
      </c>
      <c r="G28">
        <v>286.61</v>
      </c>
      <c r="H28">
        <v>1</v>
      </c>
      <c r="I28">
        <v>954.1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1B3BC-FF10-4AC8-B8A5-045E725858D4}">
  <dimension ref="A1:G45"/>
  <sheetViews>
    <sheetView topLeftCell="A16" workbookViewId="0">
      <selection activeCell="E26" sqref="E26:E33"/>
    </sheetView>
  </sheetViews>
  <sheetFormatPr defaultRowHeight="15" x14ac:dyDescent="0.25"/>
  <cols>
    <col min="1" max="1" width="17.42578125" bestFit="1" customWidth="1"/>
    <col min="2" max="2" width="19.28515625" bestFit="1" customWidth="1"/>
    <col min="3" max="4" width="17.7109375" bestFit="1" customWidth="1"/>
    <col min="5" max="5" width="20.140625" customWidth="1"/>
    <col min="6" max="6" width="19.28515625" bestFit="1" customWidth="1"/>
    <col min="7" max="7" width="17.7109375" bestFit="1" customWidth="1"/>
  </cols>
  <sheetData>
    <row r="1" spans="1:5" ht="18.75" x14ac:dyDescent="0.3">
      <c r="A1" s="2" t="s">
        <v>79</v>
      </c>
      <c r="B1" s="2"/>
      <c r="C1" s="2"/>
    </row>
    <row r="3" spans="1:5" x14ac:dyDescent="0.25">
      <c r="A3" t="s">
        <v>0</v>
      </c>
      <c r="B3" t="s">
        <v>76</v>
      </c>
      <c r="C3" t="s">
        <v>77</v>
      </c>
      <c r="D3" t="s">
        <v>42</v>
      </c>
      <c r="E3" t="s">
        <v>78</v>
      </c>
    </row>
    <row r="4" spans="1:5" x14ac:dyDescent="0.25">
      <c r="A4" s="1" t="s">
        <v>7</v>
      </c>
      <c r="B4">
        <v>70</v>
      </c>
      <c r="C4">
        <v>70</v>
      </c>
      <c r="D4">
        <v>940.86</v>
      </c>
      <c r="E4">
        <v>815.74</v>
      </c>
    </row>
    <row r="5" spans="1:5" x14ac:dyDescent="0.25">
      <c r="A5" s="1" t="s">
        <v>10</v>
      </c>
      <c r="B5">
        <v>103</v>
      </c>
      <c r="C5">
        <v>103</v>
      </c>
      <c r="D5">
        <v>742.97</v>
      </c>
      <c r="E5">
        <v>1414.14</v>
      </c>
    </row>
    <row r="6" spans="1:5" x14ac:dyDescent="0.25">
      <c r="A6" s="1" t="s">
        <v>9</v>
      </c>
      <c r="B6">
        <v>494</v>
      </c>
      <c r="C6">
        <v>494</v>
      </c>
      <c r="D6">
        <v>668.22</v>
      </c>
      <c r="E6">
        <v>661.93</v>
      </c>
    </row>
    <row r="7" spans="1:5" x14ac:dyDescent="0.25">
      <c r="A7" s="1" t="s">
        <v>4</v>
      </c>
      <c r="B7">
        <v>10</v>
      </c>
      <c r="C7">
        <v>10</v>
      </c>
      <c r="D7">
        <v>662.54</v>
      </c>
      <c r="E7">
        <v>564.08000000000004</v>
      </c>
    </row>
    <row r="8" spans="1:5" x14ac:dyDescent="0.25">
      <c r="A8" s="1" t="s">
        <v>6</v>
      </c>
      <c r="B8">
        <v>17</v>
      </c>
      <c r="C8">
        <v>17</v>
      </c>
      <c r="D8">
        <v>649.46</v>
      </c>
      <c r="E8">
        <v>648.51</v>
      </c>
    </row>
    <row r="9" spans="1:5" x14ac:dyDescent="0.25">
      <c r="A9" s="1" t="s">
        <v>5</v>
      </c>
      <c r="B9">
        <v>3</v>
      </c>
      <c r="C9">
        <v>3</v>
      </c>
      <c r="D9">
        <v>299.69</v>
      </c>
      <c r="E9">
        <v>299.33</v>
      </c>
    </row>
    <row r="10" spans="1:5" x14ac:dyDescent="0.25">
      <c r="A10" s="1" t="s">
        <v>8</v>
      </c>
      <c r="B10">
        <v>1</v>
      </c>
      <c r="C10">
        <v>1</v>
      </c>
      <c r="D10">
        <v>82.8</v>
      </c>
      <c r="E10">
        <v>82.8</v>
      </c>
    </row>
    <row r="12" spans="1:5" ht="18.75" x14ac:dyDescent="0.3">
      <c r="A12" s="2" t="s">
        <v>45</v>
      </c>
      <c r="B12" s="2"/>
    </row>
    <row r="14" spans="1:5" x14ac:dyDescent="0.25">
      <c r="A14" t="s">
        <v>0</v>
      </c>
      <c r="B14" t="s">
        <v>1</v>
      </c>
      <c r="C14" t="s">
        <v>2</v>
      </c>
      <c r="D14" t="s">
        <v>3</v>
      </c>
      <c r="E14" t="s">
        <v>43</v>
      </c>
    </row>
    <row r="15" spans="1:5" x14ac:dyDescent="0.25">
      <c r="A15" s="1" t="s">
        <v>6</v>
      </c>
      <c r="B15">
        <v>17</v>
      </c>
      <c r="C15">
        <v>124000000000</v>
      </c>
      <c r="D15">
        <v>10000001</v>
      </c>
      <c r="E15">
        <v>36206128299.470596</v>
      </c>
    </row>
    <row r="16" spans="1:5" x14ac:dyDescent="0.25">
      <c r="A16" s="1" t="s">
        <v>4</v>
      </c>
      <c r="B16">
        <v>10</v>
      </c>
      <c r="C16">
        <v>120134000000</v>
      </c>
      <c r="D16">
        <v>2560926415</v>
      </c>
      <c r="E16">
        <v>64280960735.699997</v>
      </c>
    </row>
    <row r="17" spans="1:7" x14ac:dyDescent="0.25">
      <c r="A17" s="1" t="s">
        <v>10</v>
      </c>
      <c r="B17">
        <v>103</v>
      </c>
      <c r="C17">
        <v>35113887425</v>
      </c>
      <c r="D17">
        <v>2986511558</v>
      </c>
      <c r="E17">
        <v>19819355802.980598</v>
      </c>
    </row>
    <row r="18" spans="1:7" x14ac:dyDescent="0.25">
      <c r="A18" s="1" t="s">
        <v>9</v>
      </c>
      <c r="B18">
        <v>494</v>
      </c>
      <c r="C18">
        <v>20000000000</v>
      </c>
      <c r="D18">
        <v>3000000000</v>
      </c>
      <c r="E18">
        <v>19939927930.667999</v>
      </c>
    </row>
    <row r="19" spans="1:7" x14ac:dyDescent="0.25">
      <c r="A19" s="1" t="s">
        <v>7</v>
      </c>
      <c r="B19">
        <v>70</v>
      </c>
      <c r="C19">
        <v>85769836216</v>
      </c>
      <c r="D19">
        <v>4135598840</v>
      </c>
      <c r="E19">
        <v>35765558604.414299</v>
      </c>
    </row>
    <row r="20" spans="1:7" x14ac:dyDescent="0.25">
      <c r="A20" s="1" t="s">
        <v>5</v>
      </c>
      <c r="B20">
        <v>3</v>
      </c>
      <c r="C20">
        <v>103494000000</v>
      </c>
      <c r="D20">
        <v>20000000000</v>
      </c>
      <c r="E20">
        <v>47831333333.333298</v>
      </c>
    </row>
    <row r="21" spans="1:7" x14ac:dyDescent="0.25">
      <c r="A21" s="1" t="s">
        <v>8</v>
      </c>
      <c r="B21">
        <v>1</v>
      </c>
      <c r="C21">
        <v>20000000000</v>
      </c>
      <c r="D21">
        <v>20000000000</v>
      </c>
      <c r="E21">
        <v>20000000000</v>
      </c>
    </row>
    <row r="22" spans="1:7" x14ac:dyDescent="0.25">
      <c r="A22" s="1"/>
      <c r="E22">
        <f>SUBTOTAL(101,E15:E21)</f>
        <v>34834752100.93811</v>
      </c>
    </row>
    <row r="24" spans="1:7" ht="18.75" x14ac:dyDescent="0.3">
      <c r="A24" s="2" t="s">
        <v>44</v>
      </c>
      <c r="B24" s="2"/>
      <c r="C24" s="2"/>
      <c r="E24" s="2" t="s">
        <v>46</v>
      </c>
    </row>
    <row r="26" spans="1:7" x14ac:dyDescent="0.25">
      <c r="A26" t="s">
        <v>0</v>
      </c>
      <c r="B26" t="s">
        <v>41</v>
      </c>
      <c r="C26" t="s">
        <v>42</v>
      </c>
      <c r="E26" t="s">
        <v>0</v>
      </c>
      <c r="F26" t="s">
        <v>41</v>
      </c>
      <c r="G26" t="s">
        <v>42</v>
      </c>
    </row>
    <row r="27" spans="1:7" x14ac:dyDescent="0.25">
      <c r="A27" s="1" t="s">
        <v>7</v>
      </c>
      <c r="B27">
        <v>70</v>
      </c>
      <c r="C27">
        <v>940.86</v>
      </c>
      <c r="E27" s="1" t="s">
        <v>10</v>
      </c>
      <c r="F27">
        <v>103</v>
      </c>
      <c r="G27">
        <v>1414.14</v>
      </c>
    </row>
    <row r="28" spans="1:7" x14ac:dyDescent="0.25">
      <c r="A28" s="1" t="s">
        <v>10</v>
      </c>
      <c r="B28">
        <v>103</v>
      </c>
      <c r="C28">
        <v>742.97</v>
      </c>
      <c r="E28" s="1" t="s">
        <v>7</v>
      </c>
      <c r="F28">
        <v>70</v>
      </c>
      <c r="G28">
        <v>815.74</v>
      </c>
    </row>
    <row r="29" spans="1:7" x14ac:dyDescent="0.25">
      <c r="A29" s="1" t="s">
        <v>9</v>
      </c>
      <c r="B29">
        <v>494</v>
      </c>
      <c r="C29">
        <v>668.22</v>
      </c>
      <c r="E29" s="1" t="s">
        <v>9</v>
      </c>
      <c r="F29">
        <v>494</v>
      </c>
      <c r="G29">
        <v>661.93</v>
      </c>
    </row>
    <row r="30" spans="1:7" x14ac:dyDescent="0.25">
      <c r="A30" s="1" t="s">
        <v>4</v>
      </c>
      <c r="B30">
        <v>10</v>
      </c>
      <c r="C30">
        <v>662.54</v>
      </c>
      <c r="E30" s="1" t="s">
        <v>6</v>
      </c>
      <c r="F30">
        <v>17</v>
      </c>
      <c r="G30">
        <v>648.51</v>
      </c>
    </row>
    <row r="31" spans="1:7" x14ac:dyDescent="0.25">
      <c r="A31" s="1" t="s">
        <v>6</v>
      </c>
      <c r="B31">
        <v>17</v>
      </c>
      <c r="C31">
        <v>649.46</v>
      </c>
      <c r="E31" s="1" t="s">
        <v>4</v>
      </c>
      <c r="F31">
        <v>10</v>
      </c>
      <c r="G31">
        <v>564.08000000000004</v>
      </c>
    </row>
    <row r="32" spans="1:7" x14ac:dyDescent="0.25">
      <c r="A32" s="1" t="s">
        <v>5</v>
      </c>
      <c r="B32">
        <v>3</v>
      </c>
      <c r="C32">
        <v>299.69</v>
      </c>
      <c r="E32" s="1" t="s">
        <v>5</v>
      </c>
      <c r="F32">
        <v>3</v>
      </c>
      <c r="G32">
        <v>299.33</v>
      </c>
    </row>
    <row r="33" spans="1:7" x14ac:dyDescent="0.25">
      <c r="A33" s="1" t="s">
        <v>8</v>
      </c>
      <c r="B33">
        <v>1</v>
      </c>
      <c r="C33">
        <v>82.8</v>
      </c>
      <c r="E33" s="1" t="s">
        <v>8</v>
      </c>
      <c r="F33">
        <v>1</v>
      </c>
      <c r="G33">
        <v>82.8</v>
      </c>
    </row>
    <row r="36" spans="1:7" ht="18.75" x14ac:dyDescent="0.3">
      <c r="A36" s="2"/>
      <c r="B36" s="2"/>
    </row>
    <row r="39" spans="1:7" x14ac:dyDescent="0.25">
      <c r="A39" s="1"/>
    </row>
    <row r="40" spans="1:7" x14ac:dyDescent="0.25">
      <c r="A40" s="1"/>
    </row>
    <row r="41" spans="1:7" x14ac:dyDescent="0.25">
      <c r="A41" s="1"/>
    </row>
    <row r="42" spans="1:7" x14ac:dyDescent="0.25">
      <c r="A42" s="1"/>
    </row>
    <row r="43" spans="1:7" x14ac:dyDescent="0.25">
      <c r="A43" s="1"/>
    </row>
    <row r="44" spans="1:7" x14ac:dyDescent="0.25">
      <c r="A44" s="1"/>
    </row>
    <row r="45" spans="1:7" x14ac:dyDescent="0.25">
      <c r="A45" s="1"/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59657-97FF-4CCF-AF94-F47127C1B4CD}">
  <dimension ref="A1:F20"/>
  <sheetViews>
    <sheetView workbookViewId="0">
      <selection activeCell="F4" sqref="F4:F8"/>
    </sheetView>
  </sheetViews>
  <sheetFormatPr defaultRowHeight="15" x14ac:dyDescent="0.25"/>
  <cols>
    <col min="1" max="1" width="26.28515625" customWidth="1"/>
    <col min="2" max="2" width="20.7109375" bestFit="1" customWidth="1"/>
    <col min="3" max="3" width="20" bestFit="1" customWidth="1"/>
    <col min="4" max="4" width="16.5703125" bestFit="1" customWidth="1"/>
    <col min="5" max="5" width="21.85546875" bestFit="1" customWidth="1"/>
    <col min="6" max="6" width="21.140625" bestFit="1" customWidth="1"/>
  </cols>
  <sheetData>
    <row r="1" spans="1:6" ht="18.75" x14ac:dyDescent="0.3">
      <c r="A1" s="2" t="s">
        <v>68</v>
      </c>
      <c r="B1" s="2"/>
    </row>
    <row r="3" spans="1:6" x14ac:dyDescent="0.25">
      <c r="A3" t="s">
        <v>65</v>
      </c>
      <c r="B3" t="s">
        <v>34</v>
      </c>
      <c r="C3" t="s">
        <v>41</v>
      </c>
      <c r="D3" t="s">
        <v>66</v>
      </c>
      <c r="E3" t="s">
        <v>67</v>
      </c>
      <c r="F3" t="s">
        <v>49</v>
      </c>
    </row>
    <row r="4" spans="1:6" x14ac:dyDescent="0.25">
      <c r="A4">
        <v>1</v>
      </c>
      <c r="B4" s="1" t="s">
        <v>35</v>
      </c>
      <c r="C4">
        <v>684</v>
      </c>
      <c r="D4">
        <v>684</v>
      </c>
      <c r="E4" s="5">
        <v>3925.37</v>
      </c>
      <c r="F4" s="5">
        <v>4368.28</v>
      </c>
    </row>
    <row r="5" spans="1:6" x14ac:dyDescent="0.25">
      <c r="A5">
        <v>2</v>
      </c>
      <c r="B5" s="1" t="s">
        <v>36</v>
      </c>
      <c r="C5">
        <v>2</v>
      </c>
      <c r="D5">
        <v>2</v>
      </c>
      <c r="E5" s="5">
        <v>50.72</v>
      </c>
      <c r="F5" s="5">
        <v>49.76</v>
      </c>
    </row>
    <row r="6" spans="1:6" x14ac:dyDescent="0.25">
      <c r="A6">
        <v>3</v>
      </c>
      <c r="B6" s="1" t="s">
        <v>37</v>
      </c>
      <c r="C6">
        <v>11</v>
      </c>
      <c r="D6">
        <v>11</v>
      </c>
      <c r="E6" s="5">
        <v>70.45</v>
      </c>
      <c r="F6" s="5">
        <v>68.489999999999995</v>
      </c>
    </row>
    <row r="7" spans="1:6" x14ac:dyDescent="0.25">
      <c r="A7">
        <v>4</v>
      </c>
      <c r="B7" s="1" t="s">
        <v>38</v>
      </c>
      <c r="C7">
        <v>1</v>
      </c>
      <c r="D7">
        <v>1</v>
      </c>
      <c r="E7" s="5">
        <v>0</v>
      </c>
      <c r="F7" s="5">
        <v>0</v>
      </c>
    </row>
    <row r="8" spans="1:6" x14ac:dyDescent="0.25">
      <c r="B8" s="1"/>
      <c r="E8" s="5">
        <f>SUBTOTAL(109,E4:E7)</f>
        <v>4046.5399999999995</v>
      </c>
      <c r="F8" s="5">
        <f>SUBTOTAL(109,F4:F7)</f>
        <v>4486.53</v>
      </c>
    </row>
    <row r="9" spans="1:6" ht="18.75" x14ac:dyDescent="0.3">
      <c r="A9" s="2" t="s">
        <v>39</v>
      </c>
      <c r="B9" s="2"/>
    </row>
    <row r="11" spans="1:6" x14ac:dyDescent="0.25">
      <c r="A11" t="s">
        <v>34</v>
      </c>
      <c r="B11" t="s">
        <v>32</v>
      </c>
      <c r="C11" t="s">
        <v>33</v>
      </c>
    </row>
    <row r="12" spans="1:6" x14ac:dyDescent="0.25">
      <c r="A12" s="1" t="s">
        <v>35</v>
      </c>
      <c r="B12">
        <v>5.74</v>
      </c>
      <c r="C12">
        <v>6.39</v>
      </c>
    </row>
    <row r="13" spans="1:6" x14ac:dyDescent="0.25">
      <c r="A13" s="1" t="s">
        <v>36</v>
      </c>
      <c r="B13">
        <v>25.36</v>
      </c>
      <c r="C13">
        <v>24.88</v>
      </c>
    </row>
    <row r="14" spans="1:6" x14ac:dyDescent="0.25">
      <c r="A14" s="1" t="s">
        <v>37</v>
      </c>
      <c r="B14">
        <v>6.4</v>
      </c>
      <c r="C14">
        <v>6.23</v>
      </c>
    </row>
    <row r="15" spans="1:6" x14ac:dyDescent="0.25">
      <c r="A15" s="1" t="s">
        <v>38</v>
      </c>
      <c r="B15">
        <v>0</v>
      </c>
      <c r="C15">
        <v>0</v>
      </c>
    </row>
    <row r="16" spans="1:6" x14ac:dyDescent="0.25">
      <c r="A16" s="1"/>
    </row>
    <row r="17" spans="1:2" ht="18.75" x14ac:dyDescent="0.3">
      <c r="A17" s="2" t="s">
        <v>40</v>
      </c>
      <c r="B17" s="2"/>
    </row>
    <row r="19" spans="1:2" x14ac:dyDescent="0.25">
      <c r="A19" t="s">
        <v>82</v>
      </c>
      <c r="B19" t="s">
        <v>83</v>
      </c>
    </row>
    <row r="20" spans="1:2" x14ac:dyDescent="0.25">
      <c r="A20">
        <v>5.8</v>
      </c>
      <c r="B20">
        <v>6.43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B90D4-9F25-45B1-8766-2F43E45E94E9}">
  <dimension ref="A1:G26"/>
  <sheetViews>
    <sheetView workbookViewId="0"/>
  </sheetViews>
  <sheetFormatPr defaultRowHeight="15" x14ac:dyDescent="0.25"/>
  <cols>
    <col min="1" max="1" width="16" bestFit="1" customWidth="1"/>
    <col min="2" max="2" width="13" bestFit="1" customWidth="1"/>
    <col min="3" max="3" width="22.42578125" bestFit="1" customWidth="1"/>
    <col min="6" max="6" width="16.5703125" customWidth="1"/>
  </cols>
  <sheetData>
    <row r="1" spans="1:7" ht="18.75" x14ac:dyDescent="0.3">
      <c r="A1" s="2" t="s">
        <v>27</v>
      </c>
    </row>
    <row r="3" spans="1:7" x14ac:dyDescent="0.25">
      <c r="A3" t="s">
        <v>11</v>
      </c>
      <c r="B3" t="s">
        <v>12</v>
      </c>
      <c r="C3" t="s">
        <v>13</v>
      </c>
      <c r="F3" s="3"/>
      <c r="G3" s="3"/>
    </row>
    <row r="4" spans="1:7" x14ac:dyDescent="0.25">
      <c r="A4" s="1" t="s">
        <v>18</v>
      </c>
      <c r="B4">
        <v>5</v>
      </c>
      <c r="C4">
        <v>69.48</v>
      </c>
    </row>
    <row r="5" spans="1:7" x14ac:dyDescent="0.25">
      <c r="A5" s="1" t="s">
        <v>17</v>
      </c>
      <c r="B5">
        <v>21</v>
      </c>
      <c r="C5">
        <v>1148.71</v>
      </c>
    </row>
    <row r="6" spans="1:7" x14ac:dyDescent="0.25">
      <c r="A6" s="1" t="s">
        <v>16</v>
      </c>
      <c r="B6">
        <v>66</v>
      </c>
      <c r="C6">
        <v>250.8</v>
      </c>
    </row>
    <row r="7" spans="1:7" x14ac:dyDescent="0.25">
      <c r="A7" s="1" t="s">
        <v>15</v>
      </c>
      <c r="B7">
        <v>103</v>
      </c>
      <c r="C7">
        <v>518.42999999999995</v>
      </c>
    </row>
    <row r="8" spans="1:7" x14ac:dyDescent="0.25">
      <c r="A8" s="1" t="s">
        <v>14</v>
      </c>
      <c r="B8">
        <v>492</v>
      </c>
      <c r="C8">
        <v>574.64</v>
      </c>
    </row>
    <row r="9" spans="1:7" hidden="1" x14ac:dyDescent="0.25">
      <c r="A9" s="1" t="s">
        <v>19</v>
      </c>
      <c r="B9">
        <v>3</v>
      </c>
      <c r="C9">
        <v>0</v>
      </c>
    </row>
    <row r="10" spans="1:7" hidden="1" x14ac:dyDescent="0.25">
      <c r="A10" s="1" t="s">
        <v>20</v>
      </c>
      <c r="B10">
        <v>2</v>
      </c>
      <c r="C10">
        <v>82.28</v>
      </c>
    </row>
    <row r="11" spans="1:7" hidden="1" x14ac:dyDescent="0.25">
      <c r="A11" s="1" t="s">
        <v>21</v>
      </c>
      <c r="B11">
        <v>1</v>
      </c>
      <c r="C11">
        <v>286.61</v>
      </c>
    </row>
    <row r="12" spans="1:7" hidden="1" x14ac:dyDescent="0.25">
      <c r="A12" s="1" t="s">
        <v>22</v>
      </c>
      <c r="B12">
        <v>1</v>
      </c>
      <c r="C12">
        <v>3.31</v>
      </c>
    </row>
    <row r="13" spans="1:7" hidden="1" x14ac:dyDescent="0.25">
      <c r="A13" s="1" t="s">
        <v>23</v>
      </c>
      <c r="B13">
        <v>1</v>
      </c>
      <c r="C13">
        <v>563.38</v>
      </c>
    </row>
    <row r="14" spans="1:7" hidden="1" x14ac:dyDescent="0.25">
      <c r="A14" s="1" t="s">
        <v>24</v>
      </c>
      <c r="B14">
        <v>1</v>
      </c>
      <c r="C14">
        <v>455.3</v>
      </c>
    </row>
    <row r="15" spans="1:7" hidden="1" x14ac:dyDescent="0.25">
      <c r="A15" s="1" t="s">
        <v>25</v>
      </c>
      <c r="B15">
        <v>1</v>
      </c>
      <c r="C15">
        <v>93.58</v>
      </c>
    </row>
    <row r="16" spans="1:7" hidden="1" x14ac:dyDescent="0.25">
      <c r="A16" s="1" t="s">
        <v>26</v>
      </c>
      <c r="B16">
        <v>1</v>
      </c>
      <c r="C16">
        <v>0.01</v>
      </c>
    </row>
    <row r="18" spans="1:3" ht="18.75" x14ac:dyDescent="0.3">
      <c r="A18" s="2" t="s">
        <v>31</v>
      </c>
    </row>
    <row r="20" spans="1:3" x14ac:dyDescent="0.25">
      <c r="A20" t="s">
        <v>11</v>
      </c>
      <c r="B20" t="s">
        <v>28</v>
      </c>
      <c r="C20" t="s">
        <v>29</v>
      </c>
    </row>
    <row r="21" spans="1:3" x14ac:dyDescent="0.25">
      <c r="A21" s="1" t="s">
        <v>16</v>
      </c>
      <c r="B21">
        <v>3</v>
      </c>
      <c r="C21">
        <v>25.83</v>
      </c>
    </row>
    <row r="22" spans="1:3" x14ac:dyDescent="0.25">
      <c r="A22" s="1" t="s">
        <v>30</v>
      </c>
      <c r="B22">
        <v>14</v>
      </c>
      <c r="C22">
        <v>122.38</v>
      </c>
    </row>
    <row r="23" spans="1:3" x14ac:dyDescent="0.25">
      <c r="A23" s="1" t="s">
        <v>18</v>
      </c>
      <c r="B23">
        <v>33</v>
      </c>
      <c r="C23">
        <v>2344.2399999999998</v>
      </c>
    </row>
    <row r="24" spans="1:3" x14ac:dyDescent="0.25">
      <c r="A24" s="1" t="s">
        <v>17</v>
      </c>
      <c r="B24">
        <v>47</v>
      </c>
      <c r="C24">
        <v>170.38</v>
      </c>
    </row>
    <row r="25" spans="1:3" x14ac:dyDescent="0.25">
      <c r="A25" s="1" t="s">
        <v>20</v>
      </c>
      <c r="B25">
        <v>600</v>
      </c>
      <c r="C25">
        <v>1380.39</v>
      </c>
    </row>
    <row r="26" spans="1:3" hidden="1" x14ac:dyDescent="0.25">
      <c r="A26" s="1" t="s">
        <v>22</v>
      </c>
      <c r="B26">
        <v>1</v>
      </c>
      <c r="C26">
        <v>3.31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C3C26-3DF6-46EB-852D-BA13580EE826}">
  <dimension ref="A1"/>
  <sheetViews>
    <sheetView showGridLines="0" tabSelected="1" topLeftCell="A10" zoomScale="80" zoomScaleNormal="80" workbookViewId="0">
      <selection activeCell="X23" sqref="X23"/>
    </sheetView>
  </sheetViews>
  <sheetFormatPr defaultRowHeight="15" x14ac:dyDescent="0.25"/>
  <cols>
    <col min="1" max="1" width="5.5703125" style="4" customWidth="1"/>
    <col min="2" max="2" width="2.7109375" style="4" customWidth="1"/>
    <col min="3" max="16384" width="9.140625" style="4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4499C8-9618-4BF6-87AF-46FFB54379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 10 wallet addresses</vt:lpstr>
      <vt:lpstr>Dex trade volume by weekday</vt:lpstr>
      <vt:lpstr>monthly avg trade dex &amp; nfts</vt:lpstr>
      <vt:lpstr>DEX most traded token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dcterms:created xsi:type="dcterms:W3CDTF">2025-04-07T12:04:48Z</dcterms:created>
  <dcterms:modified xsi:type="dcterms:W3CDTF">2026-01-19T10:05:00Z</dcterms:modified>
</cp:coreProperties>
</file>